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8_{0AABD6E6-16DB-440E-A884-A6738471B0E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Summary" sheetId="2" r:id="rId2"/>
    <sheet name="Sheet3" sheetId="3" r:id="rId3"/>
  </sheets>
  <definedNames>
    <definedName name="_xlchart.v1.0" hidden="1">Summary!$B$1:$B$5</definedName>
    <definedName name="_xlchart.v1.1" hidden="1">Summary!$B$1:$B$5</definedName>
    <definedName name="_xlchart.v1.2" hidden="1">Summary!$A$1:$A$5</definedName>
    <definedName name="_xlchart.v1.3" hidden="1">Summary!$B$1:$B$5</definedName>
  </definedNames>
  <calcPr calcId="191029"/>
  <pivotCaches>
    <pivotCache cacheId="1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B3" i="2"/>
  <c r="B2" i="2"/>
  <c r="B1" i="2"/>
</calcChain>
</file>

<file path=xl/sharedStrings.xml><?xml version="1.0" encoding="utf-8"?>
<sst xmlns="http://schemas.openxmlformats.org/spreadsheetml/2006/main" count="10836" uniqueCount="4293">
  <si>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</si>
  <si>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</si>
  <si>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</si>
  <si>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</si>
  <si>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</si>
  <si>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</si>
  <si>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</si>
  <si>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</si>
  <si>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</si>
  <si>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</si>
  <si>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</si>
  <si>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</si>
  <si>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</si>
  <si>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</si>
  <si>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</si>
  <si>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</si>
  <si>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</si>
  <si>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</si>
  <si>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</si>
  <si>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</si>
  <si>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</si>
  <si>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</si>
  <si>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</si>
  <si>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</si>
  <si>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</si>
  <si>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</si>
  <si>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</si>
  <si>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</si>
  <si>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</si>
  <si>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</si>
  <si>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</si>
  <si>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</si>
  <si>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</si>
  <si>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</si>
  <si>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</si>
  <si>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</si>
  <si>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</si>
  <si>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</si>
  <si>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</si>
  <si>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</si>
  <si>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</si>
  <si>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</si>
  <si>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</si>
  <si>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</si>
  <si>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</si>
  <si>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</si>
  <si>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</si>
  <si>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</si>
  <si>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</si>
  <si>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</si>
  <si>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</si>
  <si>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</si>
  <si>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</si>
  <si>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</si>
  <si>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</si>
  <si>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</si>
  <si>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</si>
  <si>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</si>
  <si>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</si>
  <si>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</si>
  <si>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</si>
  <si>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</si>
  <si>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</si>
  <si>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</si>
  <si>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</si>
  <si>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</si>
  <si>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</si>
  <si>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</si>
  <si>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</si>
  <si>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</si>
  <si>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</si>
  <si>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</si>
  <si>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</si>
  <si>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</si>
  <si>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</si>
  <si>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</si>
  <si>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</si>
  <si>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</si>
  <si>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</si>
  <si>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</si>
  <si>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</si>
  <si>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</si>
  <si>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</si>
  <si>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</si>
  <si>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</si>
  <si>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</si>
  <si>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</si>
  <si>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</si>
  <si>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</si>
  <si>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</si>
  <si>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</si>
  <si>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</si>
  <si>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</si>
  <si>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</si>
  <si>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</si>
  <si>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</si>
  <si>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</si>
  <si>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</si>
  <si>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</si>
  <si>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</si>
  <si>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</si>
  <si>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</si>
  <si>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</si>
  <si>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</si>
  <si>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</si>
  <si>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</si>
  <si>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</si>
  <si>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</si>
  <si>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</si>
  <si>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</si>
  <si>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</si>
  <si>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</si>
  <si>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</si>
  <si>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</si>
  <si>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</si>
  <si>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</si>
  <si>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</si>
  <si>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</si>
  <si>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</si>
  <si>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</si>
  <si>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</si>
  <si>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</si>
  <si>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</si>
  <si>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</si>
  <si>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</si>
  <si>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</si>
  <si>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</si>
  <si>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</si>
  <si>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</si>
  <si>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</si>
  <si>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</si>
  <si>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</si>
  <si>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</si>
  <si>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</si>
  <si>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</si>
  <si>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</si>
  <si>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</si>
  <si>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</si>
  <si>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</si>
  <si>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</si>
  <si>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</si>
  <si>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</si>
  <si>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</si>
  <si>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</si>
  <si>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</si>
  <si>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</si>
  <si>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</si>
  <si>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</si>
  <si>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</si>
  <si>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</si>
  <si>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</si>
  <si>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</si>
  <si>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</si>
  <si>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</si>
  <si>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</si>
  <si>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</si>
  <si>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</si>
  <si>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</si>
  <si>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</si>
  <si>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</si>
  <si>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</si>
  <si>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</si>
  <si>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</si>
  <si>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</si>
  <si>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</si>
  <si>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</si>
  <si>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</si>
  <si>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</si>
  <si>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</si>
  <si>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</si>
  <si>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</si>
  <si>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</si>
  <si>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</si>
  <si>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</si>
  <si>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</si>
  <si>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</si>
  <si>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</si>
  <si>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</si>
  <si>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</si>
  <si>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</si>
  <si>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</si>
  <si>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</si>
  <si>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</si>
  <si>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</si>
  <si>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</si>
  <si>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</si>
  <si>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</si>
  <si>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</si>
  <si>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</si>
  <si>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</si>
  <si>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</si>
  <si>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</si>
  <si>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</si>
  <si>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</si>
  <si>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</si>
  <si>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</si>
  <si>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</si>
  <si>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</si>
  <si>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</si>
  <si>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</si>
  <si>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</si>
  <si>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</si>
  <si>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</si>
  <si>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</si>
  <si>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</si>
  <si>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</si>
  <si>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</si>
  <si>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</si>
  <si>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</si>
  <si>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</si>
  <si>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</si>
  <si>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</si>
  <si>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</si>
  <si>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</si>
  <si>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</si>
  <si>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</si>
  <si>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</si>
  <si>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</si>
  <si>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</si>
  <si>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</si>
  <si>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</si>
  <si>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</si>
  <si>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</si>
  <si>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</si>
  <si>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</si>
  <si>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</si>
  <si>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</si>
  <si>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</si>
  <si>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</si>
  <si>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</si>
  <si>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</si>
  <si>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</si>
  <si>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</si>
  <si>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</si>
  <si>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</si>
  <si>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</si>
  <si>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</si>
  <si>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</si>
  <si>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</si>
  <si>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</si>
  <si>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</si>
  <si>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</si>
  <si>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</si>
  <si>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</si>
  <si>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</si>
  <si>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</si>
  <si>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</si>
  <si>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</si>
  <si>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</si>
  <si>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</si>
  <si>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</si>
  <si>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</si>
  <si>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</si>
  <si>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</si>
  <si>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</si>
  <si>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</si>
  <si>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</si>
  <si>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</si>
  <si>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</si>
  <si>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</si>
  <si>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</si>
  <si>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</si>
  <si>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</si>
  <si>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</si>
  <si>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</si>
  <si>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</si>
  <si>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</si>
  <si>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</si>
  <si>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</si>
  <si>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</si>
  <si>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</si>
  <si>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</si>
  <si>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</si>
  <si>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</si>
  <si>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</si>
  <si>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</si>
  <si>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</si>
  <si>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</si>
  <si>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</si>
  <si>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</si>
  <si>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</si>
  <si>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</si>
  <si>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</si>
  <si>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</si>
  <si>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</si>
  <si>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</si>
  <si>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</si>
  <si>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</si>
  <si>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</si>
  <si>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</si>
  <si>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</si>
  <si>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</si>
  <si>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</si>
  <si>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</si>
  <si>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</si>
  <si>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</si>
  <si>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</si>
  <si>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</si>
  <si>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</si>
  <si>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</si>
  <si>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</si>
  <si>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</si>
  <si>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</si>
  <si>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</si>
  <si>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</si>
  <si>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</si>
  <si>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</si>
  <si>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</si>
  <si>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</si>
  <si>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</si>
  <si>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</si>
  <si>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</si>
  <si>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</si>
  <si>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</si>
  <si>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</si>
  <si>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</si>
  <si>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</si>
  <si>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</si>
  <si>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</si>
  <si>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</si>
  <si>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</si>
  <si>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</si>
  <si>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</si>
  <si>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</si>
  <si>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</si>
  <si>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</si>
  <si>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</si>
  <si>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</si>
  <si>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</si>
  <si>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</si>
  <si>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</si>
  <si>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</si>
  <si>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</si>
  <si>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</si>
  <si>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</si>
  <si>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</si>
  <si>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</si>
  <si>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</si>
  <si>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</si>
  <si>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</si>
  <si>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</si>
  <si>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</si>
  <si>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</si>
  <si>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</si>
  <si>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</si>
  <si>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</si>
  <si>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</si>
  <si>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</si>
  <si>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</si>
  <si>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</si>
  <si>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</si>
  <si>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</si>
  <si>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</si>
  <si>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</si>
  <si>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</si>
  <si>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</si>
  <si>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</si>
  <si>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</si>
  <si>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</si>
  <si>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</si>
  <si>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</si>
  <si>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</si>
  <si>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</si>
  <si>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</si>
  <si>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</si>
  <si>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</si>
  <si>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</si>
  <si>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</si>
  <si>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</si>
  <si>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</si>
  <si>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</si>
  <si>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</si>
  <si>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</si>
  <si>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</si>
  <si>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</si>
  <si>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</si>
  <si>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</si>
  <si>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</si>
  <si>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</si>
  <si>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</si>
  <si>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</si>
  <si>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</si>
  <si>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</si>
  <si>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</si>
  <si>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</si>
  <si>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</si>
  <si>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</si>
  <si>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</si>
  <si>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</si>
  <si>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</si>
  <si>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</si>
  <si>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</si>
  <si>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</si>
  <si>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</si>
  <si>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</si>
  <si>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</si>
  <si>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</si>
  <si>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</si>
  <si>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</si>
  <si>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</si>
  <si>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</si>
  <si>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</si>
  <si>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</si>
  <si>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</si>
  <si>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</si>
  <si>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</si>
  <si>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</si>
  <si>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</si>
  <si>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</si>
  <si>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</si>
  <si>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</si>
  <si>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</si>
  <si>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</si>
  <si>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</si>
  <si>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</si>
  <si>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</si>
  <si>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</si>
  <si>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</si>
  <si>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</si>
  <si>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</si>
  <si>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</si>
  <si>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</si>
  <si>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</si>
  <si>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</si>
  <si>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</si>
  <si>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</si>
  <si>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</si>
  <si>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</si>
  <si>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</si>
  <si>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</si>
  <si>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</si>
  <si>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</si>
  <si>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</si>
  <si>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</si>
  <si>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</si>
  <si>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</si>
  <si>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</si>
  <si>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</si>
  <si>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</si>
  <si>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</si>
  <si>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</si>
  <si>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</si>
  <si>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</si>
  <si>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</si>
  <si>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</si>
  <si>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</si>
  <si>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</si>
  <si>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</si>
  <si>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</si>
  <si>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</si>
  <si>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</si>
  <si>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</si>
  <si>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</si>
  <si>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</si>
  <si>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</si>
  <si>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</si>
  <si>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</si>
  <si>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</si>
  <si>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</si>
  <si>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</si>
  <si>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</si>
  <si>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</si>
  <si>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</si>
  <si>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</si>
  <si>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</si>
  <si>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</si>
  <si>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</si>
  <si>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</si>
  <si>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</si>
  <si>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</si>
  <si>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</si>
  <si>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</si>
  <si>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</si>
  <si>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</si>
  <si>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</si>
  <si>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</si>
  <si>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</si>
  <si>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</si>
  <si>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</si>
  <si>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</si>
  <si>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</si>
  <si>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</si>
  <si>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</si>
  <si>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</si>
  <si>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</si>
  <si>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</si>
  <si>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</si>
  <si>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</si>
  <si>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</si>
  <si>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</si>
  <si>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</si>
  <si>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</si>
  <si>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</si>
  <si>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</si>
  <si>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</si>
  <si>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</si>
  <si>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</si>
  <si>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</si>
  <si>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</si>
  <si>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</si>
  <si>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</si>
  <si>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</si>
  <si>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</si>
  <si>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</si>
  <si>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</si>
  <si>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</si>
  <si>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</si>
  <si>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</si>
  <si>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</si>
  <si>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</si>
  <si>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</si>
  <si>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</si>
  <si>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</si>
  <si>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</si>
  <si>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</si>
  <si>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</si>
  <si>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</si>
  <si>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</si>
  <si>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</si>
  <si>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</si>
  <si>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</si>
  <si>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</si>
  <si>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</si>
  <si>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</si>
  <si>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</si>
  <si>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</si>
  <si>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</si>
  <si>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</si>
  <si>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</si>
  <si>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</si>
  <si>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</si>
  <si>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</si>
  <si>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</si>
  <si>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</si>
  <si>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</si>
  <si>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</si>
  <si>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</si>
  <si>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</si>
  <si>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</si>
  <si>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</si>
  <si>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</si>
  <si>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</si>
  <si>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</si>
  <si>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</si>
  <si>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</si>
  <si>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</si>
  <si>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</si>
  <si>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</si>
  <si>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</si>
  <si>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</si>
  <si>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</si>
  <si>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</si>
  <si>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</si>
  <si>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</si>
  <si>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</si>
  <si>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</si>
  <si>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</si>
  <si>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</si>
  <si>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</si>
  <si>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</si>
  <si>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</si>
  <si>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</si>
  <si>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</si>
  <si>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</si>
  <si>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</si>
  <si>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</si>
  <si>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</si>
  <si>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</si>
  <si>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</si>
  <si>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</si>
  <si>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</si>
  <si>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</si>
  <si>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</si>
  <si>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</si>
  <si>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</si>
  <si>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</si>
  <si>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</si>
  <si>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</si>
  <si>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</si>
  <si>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</si>
  <si>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</si>
  <si>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</si>
  <si>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</si>
  <si>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</si>
  <si>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</si>
  <si>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</si>
  <si>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</si>
  <si>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</si>
  <si>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</si>
  <si>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</si>
  <si>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</si>
  <si>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</si>
  <si>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</si>
  <si>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</si>
  <si>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</si>
  <si>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</si>
  <si>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</si>
  <si>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</si>
  <si>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</si>
  <si>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</si>
  <si>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</si>
  <si>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</si>
  <si>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</si>
  <si>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</si>
  <si>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</si>
  <si>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</si>
  <si>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</si>
  <si>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</si>
  <si>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</si>
  <si>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</si>
  <si>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</si>
  <si>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</si>
  <si>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</si>
  <si>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</si>
  <si>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</si>
  <si>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</si>
  <si>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</si>
  <si>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</si>
  <si>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</si>
  <si>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</si>
  <si>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</si>
  <si>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</si>
  <si>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</si>
  <si>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</si>
  <si>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</si>
  <si>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</si>
  <si>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</si>
  <si>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</si>
  <si>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</si>
  <si>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</si>
  <si>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</si>
  <si>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</si>
  <si>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</si>
  <si>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</si>
  <si>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</si>
  <si>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</si>
  <si>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</si>
  <si>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</si>
  <si>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</si>
  <si>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</si>
  <si>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</si>
  <si>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</si>
  <si>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</si>
  <si>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</si>
  <si>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</si>
  <si>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</si>
  <si>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</si>
  <si>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</si>
  <si>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</si>
  <si>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</si>
  <si>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</si>
  <si>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</si>
  <si>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</si>
  <si>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</si>
  <si>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</si>
  <si>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</si>
  <si>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</si>
  <si>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</si>
  <si>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</si>
  <si>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</si>
  <si>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</si>
  <si>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</si>
  <si>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</si>
  <si>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</si>
  <si>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</si>
  <si>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</si>
  <si>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</si>
  <si>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</si>
  <si>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</si>
  <si>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</si>
  <si>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</si>
  <si>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</si>
  <si>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</si>
  <si>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</si>
  <si>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</si>
  <si>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</si>
  <si>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</si>
  <si>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</si>
  <si>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</si>
  <si>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</si>
  <si>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</si>
  <si>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</si>
  <si>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</si>
  <si>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</si>
  <si>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</si>
  <si>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</si>
  <si>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</si>
  <si>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</si>
  <si>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</si>
  <si>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</si>
  <si>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</si>
  <si>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</si>
  <si>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</si>
  <si>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</si>
  <si>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</si>
  <si>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</si>
  <si>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</si>
  <si>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</si>
  <si>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</si>
  <si>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</si>
  <si>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</si>
  <si>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</si>
  <si>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</si>
  <si>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</si>
  <si>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</si>
  <si>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</si>
  <si>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</si>
  <si>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</si>
  <si>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</si>
  <si>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</si>
  <si>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</si>
  <si>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</si>
  <si>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</si>
  <si>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</si>
  <si>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</si>
  <si>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</si>
  <si>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</si>
  <si>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</si>
  <si>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</si>
  <si>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</si>
  <si>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</si>
  <si>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</si>
  <si>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</si>
  <si>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</si>
  <si>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</si>
  <si>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</si>
  <si>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</si>
  <si>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</si>
  <si>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</si>
  <si>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</si>
  <si>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</si>
  <si>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</si>
  <si>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</si>
  <si>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</si>
  <si>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</si>
  <si>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</si>
  <si>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</si>
  <si>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</si>
  <si>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</si>
  <si>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</si>
  <si>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</si>
  <si>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</si>
  <si>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</si>
  <si>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</si>
  <si>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</si>
  <si>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</si>
  <si>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</si>
  <si>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</si>
  <si>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</si>
  <si>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</si>
  <si>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</si>
  <si>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</si>
  <si>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</si>
  <si>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</si>
  <si>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</si>
  <si>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</si>
  <si>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</si>
  <si>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</si>
  <si>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</si>
  <si>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</si>
  <si>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</si>
  <si>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</si>
  <si>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</si>
  <si>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</si>
  <si>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</si>
  <si>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</si>
  <si>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</si>
  <si>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</si>
  <si>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</si>
  <si>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</si>
  <si>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</si>
  <si>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</si>
  <si>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</si>
  <si>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</si>
  <si>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</si>
  <si>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</si>
  <si>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</si>
  <si>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</si>
  <si>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</si>
  <si>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</si>
  <si>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</si>
  <si>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</si>
  <si>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</si>
  <si>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</si>
  <si>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</si>
  <si>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</si>
  <si>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</si>
  <si>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</si>
  <si>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</si>
  <si>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</si>
  <si>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</si>
  <si>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</si>
  <si>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</si>
  <si>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</si>
  <si>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</si>
  <si>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</si>
  <si>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</si>
  <si>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</si>
  <si>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</si>
  <si>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</si>
  <si>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</si>
  <si>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</si>
  <si>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</si>
  <si>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</si>
  <si>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</si>
  <si>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</si>
  <si>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</si>
  <si>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</si>
  <si>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</si>
  <si>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</si>
  <si>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</si>
  <si>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</si>
  <si>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</si>
  <si>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</si>
  <si>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</si>
  <si>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</si>
  <si>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</si>
  <si>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</si>
  <si>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</si>
  <si>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</si>
  <si>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</si>
  <si>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</si>
  <si>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</si>
  <si>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</si>
  <si>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</si>
  <si>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</si>
  <si>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</si>
  <si>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</si>
  <si>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</si>
  <si>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</si>
  <si>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</si>
  <si>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</si>
  <si>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</si>
  <si>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</si>
  <si>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</si>
  <si>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</si>
  <si>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</si>
  <si>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</si>
  <si>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</si>
  <si>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</si>
  <si>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</si>
  <si>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</si>
  <si>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</si>
  <si>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</si>
  <si>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</si>
  <si>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</si>
  <si>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</si>
  <si>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</si>
  <si>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</si>
  <si>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</si>
  <si>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</si>
  <si>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</si>
  <si>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</si>
  <si>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</si>
  <si>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</si>
  <si>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</si>
  <si>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</si>
  <si>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</si>
  <si>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</si>
  <si>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</si>
  <si>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</si>
  <si>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</si>
  <si>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</si>
  <si>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</si>
  <si>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</si>
  <si>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</si>
  <si>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</si>
  <si>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</si>
  <si>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</si>
  <si>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</si>
  <si>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</si>
  <si>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</si>
  <si>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</si>
  <si>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</si>
  <si>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</si>
  <si>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</si>
  <si>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</si>
  <si>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</si>
  <si>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</si>
  <si>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</si>
  <si>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</si>
  <si>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</si>
  <si>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</si>
  <si>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</si>
  <si>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</si>
  <si>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</si>
  <si>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</si>
  <si>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</si>
  <si>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</si>
  <si>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</si>
  <si>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</si>
  <si>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</si>
  <si>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</si>
  <si>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</si>
  <si>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</si>
  <si>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</si>
  <si>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</si>
  <si>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</si>
  <si>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</si>
  <si>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</si>
  <si>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</si>
  <si>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</si>
  <si>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</si>
  <si>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</si>
  <si>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</si>
  <si>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</si>
  <si>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</si>
  <si>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</si>
  <si>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</si>
  <si>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</si>
  <si>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</si>
  <si>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</si>
  <si>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</si>
  <si>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</si>
  <si>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</si>
  <si>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</si>
  <si>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</si>
  <si>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</si>
  <si>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</si>
  <si>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</si>
  <si>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</si>
  <si>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</si>
  <si>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</si>
  <si>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</si>
  <si>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</si>
  <si>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</si>
  <si>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</si>
  <si>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</si>
  <si>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</si>
  <si>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</si>
  <si>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</si>
  <si>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</si>
  <si>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</si>
  <si>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</si>
  <si>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</si>
  <si>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</si>
  <si>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</si>
  <si>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</si>
  <si>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</si>
  <si>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</si>
  <si>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</si>
  <si>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</si>
  <si>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</si>
  <si>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</si>
  <si>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</si>
  <si>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</si>
  <si>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</si>
  <si>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</si>
  <si>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</si>
  <si>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</si>
  <si>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</si>
  <si>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</si>
  <si>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</si>
  <si>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</si>
  <si>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</si>
  <si>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</si>
  <si>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</si>
  <si>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</si>
  <si>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</si>
  <si>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</si>
  <si>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</si>
  <si>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</si>
  <si>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</si>
  <si>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</si>
  <si>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</si>
  <si>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</si>
  <si>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</si>
  <si>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</si>
  <si>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</si>
  <si>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</si>
  <si>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</si>
  <si>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</si>
  <si>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</si>
  <si>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</si>
  <si>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</si>
  <si>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</si>
  <si>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</si>
  <si>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</si>
  <si>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</si>
  <si>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</si>
  <si>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</si>
  <si>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</si>
  <si>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</si>
  <si>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</si>
  <si>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</si>
  <si>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</si>
  <si>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</si>
  <si>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</si>
  <si>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</si>
  <si>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</si>
  <si>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</si>
  <si>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</si>
  <si>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</si>
  <si>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</si>
  <si>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</si>
  <si>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</si>
  <si>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</si>
  <si>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</si>
  <si>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</si>
  <si>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</si>
  <si>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</si>
  <si>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</si>
  <si>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</si>
  <si>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</si>
  <si>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</si>
  <si>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</si>
  <si>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</si>
  <si>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</si>
  <si>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</si>
  <si>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</si>
  <si>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</si>
  <si>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</si>
  <si>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</si>
  <si>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</si>
  <si>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</si>
  <si>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</si>
  <si>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</si>
  <si>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</si>
  <si>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</si>
  <si>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</si>
  <si>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</si>
  <si>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</si>
  <si>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</si>
  <si>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</si>
  <si>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</si>
  <si>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</si>
  <si>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</si>
  <si>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</si>
  <si>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</si>
  <si>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</si>
  <si>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</si>
  <si>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</si>
  <si>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</si>
  <si>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</si>
  <si>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</si>
  <si>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</si>
  <si>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</si>
  <si>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</si>
  <si>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</si>
  <si>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</si>
  <si>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</si>
  <si>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</si>
  <si>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</si>
  <si>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</si>
  <si>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</si>
  <si>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</si>
  <si>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</si>
  <si>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</si>
  <si>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</si>
  <si>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</si>
  <si>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</si>
  <si>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</si>
  <si>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</si>
  <si>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</si>
  <si>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</si>
  <si>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</si>
  <si>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</si>
  <si>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</si>
  <si>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</si>
  <si>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</si>
  <si>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</si>
  <si>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</si>
  <si>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</si>
  <si>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</si>
  <si>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</si>
  <si>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</si>
  <si>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</si>
  <si>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</si>
  <si>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</si>
  <si>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</si>
  <si>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</si>
  <si>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</si>
  <si>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</si>
  <si>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</si>
  <si>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</si>
  <si>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</si>
  <si>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</si>
  <si>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</si>
  <si>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</si>
  <si>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</si>
  <si>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</si>
  <si>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</si>
  <si>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</si>
  <si>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</si>
  <si>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</si>
  <si>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</si>
  <si>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</si>
  <si>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</si>
  <si>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</si>
  <si>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</si>
  <si>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</si>
  <si>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</si>
  <si>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</si>
  <si>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</si>
  <si>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</si>
  <si>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</si>
  <si>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</si>
  <si>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</si>
  <si>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</si>
  <si>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</si>
  <si>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</si>
  <si>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</si>
  <si>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</si>
  <si>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</si>
  <si>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</si>
  <si>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</si>
  <si>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</si>
  <si>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</si>
  <si>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</si>
  <si>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</si>
  <si>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</si>
  <si>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</si>
  <si>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</si>
  <si>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</si>
  <si>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</si>
  <si>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</si>
  <si>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</si>
  <si>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</si>
  <si>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</si>
  <si>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</si>
  <si>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</si>
  <si>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</si>
  <si>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</si>
  <si>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</si>
  <si>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</si>
  <si>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</si>
  <si>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</si>
  <si>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</si>
  <si>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</si>
  <si>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</si>
  <si>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</si>
  <si>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</si>
  <si>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</si>
  <si>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</si>
  <si>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</si>
  <si>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</si>
  <si>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</si>
  <si>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</si>
  <si>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</si>
  <si>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</si>
  <si>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</si>
  <si>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</si>
  <si>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</si>
  <si>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</si>
  <si>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</si>
  <si>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</si>
  <si>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</si>
  <si>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</si>
  <si>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</si>
  <si>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</si>
  <si>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</si>
  <si>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</si>
  <si>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</si>
  <si>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</si>
  <si>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</si>
  <si>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</si>
  <si>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</si>
  <si>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</si>
  <si>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</si>
  <si>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</si>
  <si>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</si>
  <si>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</si>
  <si>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</si>
  <si>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</si>
  <si>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</si>
  <si>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</si>
  <si>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</si>
  <si>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</si>
  <si>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</si>
  <si>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</si>
  <si>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</si>
  <si>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</si>
  <si>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</si>
  <si>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</si>
  <si>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</si>
  <si>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</si>
  <si>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</si>
  <si>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</si>
  <si>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</si>
  <si>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</si>
  <si>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</si>
  <si>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</si>
  <si>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</si>
  <si>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</si>
  <si>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</si>
  <si>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</si>
  <si>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</si>
  <si>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</si>
  <si>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</si>
  <si>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</si>
  <si>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</si>
  <si>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</si>
  <si>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</si>
  <si>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</si>
  <si>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</si>
  <si>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</si>
  <si>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</si>
  <si>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</si>
  <si>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</si>
  <si>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</si>
  <si>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</si>
  <si>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</si>
  <si>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</si>
  <si>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</si>
  <si>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</si>
  <si>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</si>
  <si>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</si>
  <si>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</si>
  <si>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</si>
  <si>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</si>
  <si>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</si>
  <si>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</si>
  <si>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</si>
  <si>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</si>
  <si>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</si>
  <si>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</si>
  <si>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</si>
  <si>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</si>
  <si>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</si>
  <si>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</si>
  <si>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</si>
  <si>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</si>
  <si>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</si>
  <si>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</si>
  <si>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</si>
  <si>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</si>
  <si>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</si>
  <si>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</si>
  <si>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</si>
  <si>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</si>
  <si>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</si>
  <si>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</si>
  <si>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</si>
  <si>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</si>
  <si>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</si>
  <si>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</si>
  <si>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</si>
  <si>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</si>
  <si>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</si>
  <si>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</si>
  <si>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</si>
  <si>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</si>
  <si>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</si>
  <si>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</si>
  <si>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</si>
  <si>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</si>
  <si>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</si>
  <si>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</si>
  <si>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</si>
  <si>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</si>
  <si>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</si>
  <si>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</si>
  <si>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</si>
  <si>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</si>
  <si>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</si>
  <si>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</si>
  <si>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</si>
  <si>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</si>
  <si>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</si>
  <si>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</si>
  <si>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</si>
  <si>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</si>
  <si>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</si>
  <si>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</si>
  <si>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</si>
  <si>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</si>
  <si>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</si>
  <si>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</si>
  <si>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</si>
  <si>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</si>
  <si>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</si>
  <si>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</si>
  <si>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</si>
  <si>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</si>
  <si>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</si>
  <si>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</si>
  <si>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</si>
  <si>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</si>
  <si>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</si>
  <si>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</si>
  <si>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</si>
  <si>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</si>
  <si>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</si>
  <si>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</si>
  <si>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</si>
  <si>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</si>
  <si>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</si>
  <si>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</si>
  <si>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</si>
  <si>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</si>
  <si>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</si>
  <si>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</si>
  <si>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</si>
  <si>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</si>
  <si>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</si>
  <si>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</si>
  <si>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</si>
  <si>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</si>
  <si>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</si>
  <si>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</si>
  <si>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</si>
  <si>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</si>
  <si>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</si>
  <si>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</si>
  <si>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</si>
  <si>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</si>
  <si>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</si>
  <si>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</si>
  <si>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</si>
  <si>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</si>
  <si>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</si>
  <si>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</si>
  <si>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</si>
  <si>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</si>
  <si>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</si>
  <si>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</si>
  <si>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</si>
  <si>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</si>
  <si>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</si>
  <si>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</si>
  <si>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</si>
  <si>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</si>
  <si>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</si>
  <si>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</si>
  <si>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</si>
  <si>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</si>
  <si>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</si>
  <si>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</si>
  <si>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</si>
  <si>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</si>
  <si>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</si>
  <si>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</si>
  <si>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</si>
  <si>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</si>
  <si>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</si>
  <si>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</si>
  <si>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</si>
  <si>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</si>
  <si>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</si>
  <si>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</si>
  <si>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</si>
  <si>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</si>
  <si>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</si>
  <si>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</si>
  <si>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</si>
  <si>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</si>
  <si>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</si>
  <si>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</si>
  <si>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</si>
  <si>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</si>
  <si>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</si>
  <si>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</si>
  <si>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</si>
  <si>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</si>
  <si>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</si>
  <si>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</si>
  <si>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</si>
  <si>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</si>
  <si>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</si>
  <si>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</si>
  <si>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</si>
  <si>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</si>
  <si>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</si>
  <si>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</si>
  <si>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</si>
  <si>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</si>
  <si>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</si>
  <si>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</si>
  <si>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</si>
  <si>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</si>
  <si>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</si>
  <si>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</si>
  <si>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</si>
  <si>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</si>
  <si>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</si>
  <si>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</si>
  <si>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</si>
  <si>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</si>
  <si>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</si>
  <si>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</si>
  <si>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</si>
  <si>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</si>
  <si>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</si>
  <si>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</si>
  <si>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</si>
  <si>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</si>
  <si>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</si>
  <si>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</si>
  <si>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</si>
  <si>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</si>
  <si>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</si>
  <si>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</si>
  <si>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</si>
  <si>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</si>
  <si>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</si>
  <si>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</si>
  <si>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</si>
  <si>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</si>
  <si>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</si>
  <si>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</si>
  <si>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</si>
  <si>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</si>
  <si>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</si>
  <si>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</si>
  <si>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</si>
  <si>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</si>
  <si>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</si>
  <si>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</si>
  <si>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</si>
  <si>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</si>
  <si>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</si>
  <si>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</si>
  <si>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</si>
  <si>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</si>
  <si>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</si>
  <si>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</si>
  <si>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</si>
  <si>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</si>
  <si>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</si>
  <si>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</si>
  <si>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</si>
  <si>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</si>
  <si>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</si>
  <si>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</si>
  <si>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</si>
  <si>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</si>
  <si>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</si>
  <si>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</si>
  <si>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</si>
  <si>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</si>
  <si>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</si>
  <si>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</si>
  <si>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</si>
  <si>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</si>
  <si>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</si>
  <si>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</si>
  <si>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</si>
  <si>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</si>
  <si>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</si>
  <si>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</si>
  <si>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</si>
  <si>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</si>
  <si>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</si>
  <si>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</si>
  <si>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</si>
  <si>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</si>
  <si>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</si>
  <si>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</si>
  <si>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</si>
  <si>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</si>
  <si>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</si>
  <si>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</si>
  <si>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</si>
  <si>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</si>
  <si>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</si>
  <si>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</si>
  <si>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</si>
  <si>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</si>
  <si>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</si>
  <si>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</si>
  <si>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</si>
  <si>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</si>
  <si>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</si>
  <si>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</si>
  <si>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</si>
  <si>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</si>
  <si>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</si>
  <si>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</si>
  <si>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</si>
  <si>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</si>
  <si>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</si>
  <si>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</si>
  <si>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</si>
  <si>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</si>
  <si>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</si>
  <si>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</si>
  <si>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</si>
  <si>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</si>
  <si>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</si>
  <si>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</si>
  <si>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</si>
  <si>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</si>
  <si>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</si>
  <si>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</si>
  <si>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</si>
  <si>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</si>
  <si>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</si>
  <si>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</si>
  <si>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</si>
  <si>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</si>
  <si>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</si>
  <si>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</si>
  <si>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</si>
  <si>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</si>
  <si>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</si>
  <si>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</si>
  <si>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</si>
  <si>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</si>
  <si>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</si>
  <si>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</si>
  <si>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</si>
  <si>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</si>
  <si>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</si>
  <si>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</si>
  <si>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</si>
  <si>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</si>
  <si>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</si>
  <si>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</si>
  <si>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</si>
  <si>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</si>
  <si>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</si>
  <si>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</si>
  <si>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</si>
  <si>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</si>
  <si>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</si>
  <si>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</si>
  <si>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</si>
  <si>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</si>
  <si>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</si>
  <si>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</si>
  <si>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</si>
  <si>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</si>
  <si>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</si>
  <si>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</si>
  <si>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</si>
  <si>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</si>
  <si>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</si>
  <si>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</si>
  <si>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</si>
  <si>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</si>
  <si>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</si>
  <si>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</si>
  <si>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</si>
  <si>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</si>
  <si>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</si>
  <si>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</si>
  <si>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</si>
  <si>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</si>
  <si>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</si>
  <si>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</si>
  <si>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</si>
  <si>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</si>
  <si>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</si>
  <si>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</si>
  <si>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</si>
  <si>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</si>
  <si>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</si>
  <si>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</si>
  <si>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</si>
  <si>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</si>
  <si>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</si>
  <si>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</si>
  <si>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</si>
  <si>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</si>
  <si>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</si>
  <si>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</si>
  <si>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</si>
  <si>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</si>
  <si>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</si>
  <si>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</si>
  <si>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</si>
  <si>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</si>
  <si>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</si>
  <si>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</si>
  <si>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</si>
  <si>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</si>
  <si>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</si>
  <si>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</si>
  <si>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</si>
  <si>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</si>
  <si>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</si>
  <si>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</si>
  <si>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</si>
  <si>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</si>
  <si>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</si>
  <si>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</si>
  <si>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</si>
  <si>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</si>
  <si>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</si>
  <si>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</si>
  <si>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</si>
  <si>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</si>
  <si>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</si>
  <si>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</si>
  <si>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</si>
  <si>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</si>
  <si>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</si>
  <si>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</si>
  <si>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</si>
  <si>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</si>
  <si>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</si>
  <si>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</si>
  <si>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</si>
  <si>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</si>
  <si>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</si>
  <si>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</si>
  <si>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</si>
  <si>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</si>
  <si>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</si>
  <si>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</si>
  <si>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</si>
  <si>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</si>
  <si>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</si>
  <si>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</si>
  <si>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</si>
  <si>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</si>
  <si>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</si>
  <si>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</si>
  <si>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</si>
  <si>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</si>
  <si>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</si>
  <si>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</si>
  <si>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</si>
  <si>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</si>
  <si>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</si>
  <si>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</si>
  <si>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</si>
  <si>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</si>
  <si>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</si>
  <si>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</si>
  <si>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</si>
  <si>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</si>
  <si>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</si>
  <si>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</si>
  <si>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</si>
  <si>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</si>
  <si>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</si>
  <si>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</si>
  <si>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</si>
  <si>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</si>
  <si>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</si>
  <si>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</si>
  <si>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</si>
  <si>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</si>
  <si>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</si>
  <si>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</si>
  <si>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</si>
  <si>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</si>
  <si>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</si>
  <si>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</si>
  <si>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</si>
  <si>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</si>
  <si>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</si>
  <si>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</si>
  <si>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</si>
  <si>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</si>
  <si>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</si>
  <si>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</si>
  <si>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</si>
  <si>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</si>
  <si>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</si>
  <si>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</si>
  <si>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</si>
  <si>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</si>
  <si>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</si>
  <si>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</si>
  <si>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</si>
  <si>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</si>
  <si>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</si>
  <si>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</si>
  <si>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</si>
  <si>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</si>
  <si>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</si>
  <si>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</si>
  <si>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</si>
  <si>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</si>
  <si>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</si>
  <si>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</si>
  <si>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</si>
  <si>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</si>
  <si>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</si>
  <si>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</si>
  <si>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</si>
  <si>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</si>
  <si>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</si>
  <si>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</si>
  <si>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</si>
  <si>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</si>
  <si>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</si>
  <si>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</si>
  <si>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</si>
  <si>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</si>
  <si>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</si>
  <si>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</si>
  <si>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</si>
  <si>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</si>
  <si>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</si>
  <si>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</si>
  <si>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</si>
  <si>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</si>
  <si>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</si>
  <si>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</si>
  <si>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</si>
  <si>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</si>
  <si>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</si>
  <si>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</si>
  <si>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</si>
  <si>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</si>
  <si>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</si>
  <si>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</si>
  <si>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</si>
  <si>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</si>
  <si>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</si>
  <si>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</si>
  <si>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</si>
  <si>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</si>
  <si>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</si>
  <si>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</si>
  <si>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</si>
  <si>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</si>
  <si>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</si>
  <si>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</si>
  <si>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</si>
  <si>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</si>
  <si>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</si>
  <si>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</si>
  <si>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</si>
  <si>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</si>
  <si>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</si>
  <si>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</si>
  <si>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</si>
  <si>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</si>
  <si>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</si>
  <si>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</si>
  <si>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</si>
  <si>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</si>
  <si>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</si>
  <si>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</si>
  <si>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</si>
  <si>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</si>
  <si>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</si>
  <si>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</si>
  <si>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</si>
  <si>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</si>
  <si>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</si>
  <si>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</si>
  <si>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</si>
  <si>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</si>
  <si>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</si>
  <si>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</si>
  <si>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</si>
  <si>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</si>
  <si>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</si>
  <si>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</si>
  <si>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</si>
  <si>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</si>
  <si>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</si>
  <si>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</si>
  <si>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</si>
  <si>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</si>
  <si>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</si>
  <si>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</si>
  <si>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</si>
  <si>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</si>
  <si>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</si>
  <si>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</si>
  <si>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</si>
  <si>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</si>
  <si>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</si>
  <si>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</si>
  <si>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</si>
  <si>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</si>
  <si>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</si>
  <si>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</si>
  <si>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</si>
  <si>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</si>
  <si>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</si>
  <si>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</si>
  <si>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</si>
  <si>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</si>
  <si>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</si>
  <si>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</si>
  <si>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</si>
  <si>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</si>
  <si>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</si>
  <si>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</si>
  <si>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</si>
  <si>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</si>
  <si>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</si>
  <si>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</si>
  <si>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</si>
  <si>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</si>
  <si>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</si>
  <si>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</si>
  <si>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</si>
  <si>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</si>
  <si>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</si>
  <si>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</si>
  <si>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</si>
  <si>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</si>
  <si>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</si>
  <si>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</si>
  <si>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</si>
  <si>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</si>
  <si>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</si>
  <si>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</si>
  <si>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</si>
  <si>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</si>
  <si>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</si>
  <si>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</si>
  <si>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</si>
  <si>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</si>
  <si>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</si>
  <si>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</si>
  <si>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</si>
  <si>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</si>
  <si>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</si>
  <si>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</si>
  <si>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</si>
  <si>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</si>
  <si>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</si>
  <si>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</si>
  <si>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</si>
  <si>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</si>
  <si>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</si>
  <si>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</si>
  <si>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</si>
  <si>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</si>
  <si>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</si>
  <si>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</si>
  <si>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</si>
  <si>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</si>
  <si>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</si>
  <si>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</si>
  <si>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</si>
  <si>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</si>
  <si>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</si>
  <si>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</si>
  <si>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</si>
  <si>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</si>
  <si>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</si>
  <si>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</si>
  <si>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</si>
  <si>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</si>
  <si>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</si>
  <si>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</si>
  <si>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</si>
  <si>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</si>
  <si>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</si>
  <si>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</si>
  <si>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</si>
  <si>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</si>
  <si>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</si>
  <si>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</si>
  <si>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</si>
  <si>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</si>
  <si>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</si>
  <si>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</si>
  <si>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</si>
  <si>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</si>
  <si>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</si>
  <si>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</si>
  <si>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</si>
  <si>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</si>
  <si>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</si>
  <si>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</si>
  <si>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</si>
  <si>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</si>
  <si>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</si>
  <si>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</si>
  <si>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</si>
  <si>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</si>
  <si>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</si>
  <si>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</si>
  <si>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</si>
  <si>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</si>
  <si>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</si>
  <si>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</si>
  <si>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</si>
  <si>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</si>
  <si>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</si>
  <si>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</si>
  <si>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</si>
  <si>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</si>
  <si>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</si>
  <si>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</si>
  <si>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</si>
  <si>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</si>
  <si>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</si>
  <si>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</si>
  <si>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</si>
  <si>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</si>
  <si>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</si>
  <si>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</si>
  <si>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</si>
  <si>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</si>
  <si>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</si>
  <si>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</si>
  <si>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</si>
  <si>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</si>
  <si>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</si>
  <si>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</si>
  <si>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</si>
  <si>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</si>
  <si>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</si>
  <si>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</si>
  <si>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</si>
  <si>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</si>
  <si>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</si>
  <si>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</si>
  <si>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</si>
  <si>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</si>
  <si>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</si>
  <si>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</si>
  <si>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</si>
  <si>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</si>
  <si>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</si>
  <si>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</si>
  <si>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</si>
  <si>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</si>
  <si>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</si>
  <si>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</si>
  <si>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</si>
  <si>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</si>
  <si>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</si>
  <si>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</si>
  <si>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</si>
  <si>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</si>
  <si>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</si>
  <si>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</si>
  <si>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</si>
  <si>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</si>
  <si>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</si>
  <si>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</si>
  <si>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</si>
  <si>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</si>
  <si>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</si>
  <si>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</si>
  <si>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</si>
  <si>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</si>
  <si>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</si>
  <si>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</si>
  <si>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</si>
  <si>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</si>
  <si>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</si>
  <si>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</si>
  <si>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</si>
  <si>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</si>
  <si>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</si>
  <si>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</si>
  <si>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</si>
  <si>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</si>
  <si>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</si>
  <si>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</si>
  <si>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</si>
  <si>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</si>
  <si>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</si>
  <si>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</si>
  <si>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</si>
  <si>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</si>
  <si>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</si>
  <si>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</si>
  <si>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</si>
  <si>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</si>
  <si>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</si>
  <si>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</si>
  <si>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</si>
  <si>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</si>
  <si>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</si>
  <si>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</si>
  <si>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</si>
  <si>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</si>
  <si>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</si>
  <si>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</si>
  <si>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</si>
  <si>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</si>
  <si>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</si>
  <si>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</si>
  <si>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</si>
  <si>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</si>
  <si>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</si>
  <si>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</si>
  <si>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</si>
  <si>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</si>
  <si>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</si>
  <si>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</si>
  <si>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</si>
  <si>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</si>
  <si>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</si>
  <si>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</si>
  <si>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</si>
  <si>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</si>
  <si>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</si>
  <si>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</si>
  <si>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</si>
  <si>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</si>
  <si>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</si>
  <si>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</si>
  <si>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</si>
  <si>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</si>
  <si>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</si>
  <si>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</si>
  <si>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</si>
  <si>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</si>
  <si>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</si>
  <si>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</si>
  <si>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</si>
  <si>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</si>
  <si>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</si>
  <si>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</si>
  <si>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</si>
  <si>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</si>
  <si>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</si>
  <si>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</si>
  <si>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</si>
  <si>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</si>
  <si>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</si>
  <si>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</si>
  <si>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</si>
  <si>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</si>
  <si>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</si>
  <si>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</si>
  <si>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</si>
  <si>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</si>
  <si>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</si>
  <si>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</si>
  <si>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</si>
  <si>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</si>
  <si>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</si>
  <si>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</si>
  <si>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</si>
  <si>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</si>
  <si>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</si>
  <si>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</si>
  <si>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</si>
  <si>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</si>
  <si>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</si>
  <si>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</si>
  <si>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</si>
  <si>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</si>
  <si>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</si>
  <si>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</si>
  <si>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</si>
  <si>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</si>
  <si>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</si>
  <si>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</si>
  <si>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</si>
  <si>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</si>
  <si>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</si>
  <si>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</si>
  <si>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</si>
  <si>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</si>
  <si>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</si>
  <si>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</si>
  <si>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</si>
  <si>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</si>
  <si>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</si>
  <si>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</si>
  <si>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</si>
  <si>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</si>
  <si>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</si>
  <si>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</si>
  <si>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</si>
  <si>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</si>
  <si>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</si>
  <si>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</si>
  <si>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</si>
  <si>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</si>
  <si>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</si>
  <si>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</si>
  <si>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</si>
  <si>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</si>
  <si>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</si>
  <si>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</si>
  <si>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</si>
  <si>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</si>
  <si>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</si>
  <si>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</si>
  <si>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</si>
  <si>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</si>
  <si>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</si>
  <si>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</si>
  <si>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</si>
  <si>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</si>
  <si>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</si>
  <si>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</si>
  <si>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</si>
  <si>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</si>
  <si>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</si>
  <si>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</si>
  <si>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</si>
  <si>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</si>
  <si>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</si>
  <si>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</si>
  <si>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</si>
  <si>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</si>
  <si>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</si>
  <si>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</si>
  <si>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</si>
  <si>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</si>
  <si>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</si>
  <si>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</si>
  <si>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</si>
  <si>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</si>
  <si>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</si>
  <si>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</si>
  <si>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</si>
  <si>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</si>
  <si>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</si>
  <si>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</si>
  <si>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</si>
  <si>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</si>
  <si>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</si>
  <si>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</si>
  <si>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</si>
  <si>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</si>
  <si>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</si>
  <si>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</si>
  <si>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</si>
  <si>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</si>
  <si>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</si>
  <si>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</si>
  <si>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</si>
  <si>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</si>
  <si>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</si>
  <si>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</si>
  <si>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</si>
  <si>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</si>
  <si>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</si>
  <si>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</si>
  <si>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</si>
  <si>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</si>
  <si>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</si>
  <si>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</si>
  <si>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</si>
  <si>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</si>
  <si>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</si>
  <si>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</si>
  <si>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</si>
  <si>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</si>
  <si>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</si>
  <si>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</si>
  <si>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</si>
  <si>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</si>
  <si>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</si>
  <si>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</si>
  <si>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</si>
  <si>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</si>
  <si>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</si>
  <si>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</si>
  <si>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</si>
  <si>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</si>
  <si>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</si>
  <si>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</si>
  <si>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</si>
  <si>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</si>
  <si>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</si>
  <si>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</si>
  <si>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</si>
  <si>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</si>
  <si>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</si>
  <si>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</si>
  <si>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</si>
  <si>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</si>
  <si>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</si>
  <si>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</si>
  <si>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</si>
  <si>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</si>
  <si>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</si>
  <si>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</si>
  <si>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</si>
  <si>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</si>
  <si>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</si>
  <si>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</si>
  <si>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</si>
  <si>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</si>
  <si>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</si>
  <si>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</si>
  <si>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</si>
  <si>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</si>
  <si>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</si>
  <si>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</si>
  <si>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</si>
  <si>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</si>
  <si>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</si>
  <si>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</si>
  <si>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</si>
  <si>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</si>
  <si>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</si>
  <si>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</si>
  <si>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</si>
  <si>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</si>
  <si>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</si>
  <si>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</si>
  <si>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</si>
  <si>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</si>
  <si>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</si>
  <si>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</si>
  <si>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</si>
  <si>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</si>
  <si>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</si>
  <si>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</si>
  <si>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</si>
  <si>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</si>
  <si>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</si>
  <si>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</si>
  <si>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</si>
  <si>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</si>
  <si>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</si>
  <si>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</si>
  <si>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</si>
  <si>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</si>
  <si>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</si>
  <si>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</si>
  <si>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</si>
  <si>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</si>
  <si>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</si>
  <si>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</si>
  <si>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</si>
  <si>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</si>
  <si>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</si>
  <si>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</si>
  <si>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</si>
  <si>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</si>
  <si>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</si>
  <si>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</si>
  <si>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</si>
  <si>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</si>
  <si>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</si>
  <si>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</si>
  <si>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</si>
  <si>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</si>
  <si>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</si>
  <si>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</si>
  <si>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</si>
  <si>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</si>
  <si>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</si>
  <si>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</si>
  <si>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</si>
  <si>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</si>
  <si>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</si>
  <si>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</si>
  <si>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</si>
  <si>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</si>
  <si>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</si>
  <si>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</si>
  <si>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</si>
  <si>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</si>
  <si>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</si>
  <si>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</si>
  <si>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</si>
  <si>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</si>
  <si>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</si>
  <si>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</si>
  <si>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</si>
  <si>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</si>
  <si>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</si>
  <si>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</si>
  <si>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</si>
  <si>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</si>
  <si>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</si>
  <si>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</si>
  <si>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</si>
  <si>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</si>
  <si>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</si>
  <si>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</si>
  <si>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</si>
  <si>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</si>
  <si>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</si>
  <si>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</si>
  <si>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</si>
  <si>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</si>
  <si>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</si>
  <si>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</si>
  <si>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</si>
  <si>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</si>
  <si>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</si>
  <si>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</si>
  <si>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</si>
  <si>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</si>
  <si>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</si>
  <si>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</si>
  <si>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</si>
  <si>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</si>
  <si>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</si>
  <si>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</si>
  <si>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</si>
  <si>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</si>
  <si>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</si>
  <si>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</si>
  <si>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</si>
  <si>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</si>
  <si>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</si>
  <si>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</si>
  <si>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</si>
  <si>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</si>
  <si>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</si>
  <si>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</si>
  <si>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</si>
  <si>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</si>
  <si>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</si>
  <si>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</si>
  <si>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</si>
  <si>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</si>
  <si>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</si>
  <si>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</si>
  <si>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</si>
  <si>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</si>
  <si>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</si>
  <si>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</si>
  <si>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</si>
  <si>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</si>
  <si>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</si>
  <si>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</si>
  <si>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</si>
  <si>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</si>
  <si>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</si>
  <si>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</si>
  <si>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</si>
  <si>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</si>
  <si>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</si>
  <si>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</si>
  <si>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</si>
  <si>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</si>
  <si>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</si>
  <si>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</si>
  <si>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</si>
  <si>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</si>
  <si>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</si>
  <si>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</si>
  <si>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</si>
  <si>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</si>
  <si>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</si>
  <si>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</si>
  <si>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</si>
  <si>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</si>
  <si>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</si>
  <si>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</si>
  <si>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</si>
  <si>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</si>
  <si>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</si>
  <si>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</si>
  <si>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</si>
  <si>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</si>
  <si>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</si>
  <si>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</si>
  <si>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</si>
  <si>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</si>
  <si>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</si>
  <si>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</si>
  <si>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</si>
  <si>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</si>
  <si>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</si>
  <si>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</si>
  <si>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</si>
  <si>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</si>
  <si>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</si>
  <si>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</si>
  <si>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</si>
  <si>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</si>
  <si>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</si>
  <si>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</si>
  <si>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</si>
  <si>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</si>
  <si>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</si>
  <si>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</si>
  <si>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</si>
  <si>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</si>
  <si>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</si>
  <si>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</si>
  <si>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</si>
  <si>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</si>
  <si>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</si>
  <si>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</si>
  <si>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</si>
  <si>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</si>
  <si>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</si>
  <si>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</si>
  <si>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</si>
  <si>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</si>
  <si>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</si>
  <si>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</si>
  <si>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</si>
  <si>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</si>
  <si>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</si>
  <si>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</si>
  <si>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</si>
  <si>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</si>
  <si>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</si>
  <si>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</si>
  <si>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</si>
  <si>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</si>
  <si>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</si>
  <si>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</si>
  <si>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</si>
  <si>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</si>
  <si>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</si>
  <si>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</si>
  <si>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</si>
  <si>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</si>
  <si>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</si>
  <si>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</si>
  <si>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</si>
  <si>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</si>
  <si>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</si>
  <si>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</si>
  <si>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</si>
  <si>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</si>
  <si>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</si>
  <si>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</si>
  <si>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</si>
  <si>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</si>
  <si>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</si>
  <si>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</si>
  <si>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</si>
  <si>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</si>
  <si>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</si>
  <si>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</si>
  <si>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</si>
  <si>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</si>
  <si>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</si>
  <si>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</si>
  <si>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</si>
  <si>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</si>
  <si>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</si>
  <si>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</si>
  <si>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</si>
  <si>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</si>
  <si>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</si>
  <si>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</si>
  <si>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</si>
  <si>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</si>
  <si>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</si>
  <si>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</si>
  <si>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</si>
  <si>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</si>
  <si>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</si>
  <si>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</si>
  <si>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</si>
  <si>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</si>
  <si>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</si>
  <si>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</si>
  <si>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</si>
  <si>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</si>
  <si>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</si>
  <si>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</si>
  <si>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</si>
  <si>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</si>
  <si>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</si>
  <si>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</si>
  <si>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</si>
  <si>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</si>
  <si>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</si>
  <si>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</si>
  <si>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</si>
  <si>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</si>
  <si>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</si>
  <si>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</si>
  <si>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</si>
  <si>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</si>
  <si>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</si>
  <si>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</si>
  <si>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</si>
  <si>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</si>
  <si>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</si>
  <si>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</si>
  <si>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</si>
  <si>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</si>
  <si>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</si>
  <si>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</si>
  <si>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</si>
  <si>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</si>
  <si>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</si>
  <si>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</si>
  <si>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</si>
  <si>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</si>
  <si>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</si>
  <si>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</si>
  <si>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</si>
  <si>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</si>
  <si>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</si>
  <si>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</si>
  <si>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</si>
  <si>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</si>
  <si>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</si>
  <si>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</si>
  <si>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</si>
  <si>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</si>
  <si>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</si>
  <si>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</si>
  <si>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</si>
  <si>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</si>
  <si>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</si>
  <si>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</si>
  <si>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</si>
  <si>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</si>
  <si>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</si>
  <si>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</si>
  <si>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</si>
  <si>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</si>
  <si>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</si>
  <si>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</si>
  <si>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</si>
  <si>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</si>
  <si>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</si>
  <si>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</si>
  <si>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</si>
  <si>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</si>
  <si>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</si>
  <si>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</si>
  <si>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</si>
  <si>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</si>
  <si>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</si>
  <si>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</si>
  <si>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</si>
  <si>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</si>
  <si>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</si>
  <si>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</si>
  <si>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</si>
  <si>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</si>
  <si>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</si>
  <si>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</si>
  <si>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</si>
  <si>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</si>
  <si>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</si>
  <si>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</si>
  <si>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</si>
  <si>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</si>
  <si>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</si>
  <si>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</si>
  <si>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</si>
  <si>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</si>
  <si>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</si>
  <si>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</si>
  <si>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</si>
  <si>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</si>
  <si>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</si>
  <si>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</si>
  <si>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</si>
  <si>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</si>
  <si>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</si>
  <si>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</si>
  <si>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</si>
  <si>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</si>
  <si>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</si>
  <si>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</si>
  <si>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</si>
  <si>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</si>
  <si>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</si>
  <si>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</si>
  <si>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</si>
  <si>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</si>
  <si>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</si>
  <si>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</si>
  <si>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</si>
  <si>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</si>
  <si>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</si>
  <si>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</si>
  <si>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</si>
  <si>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</si>
  <si>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</si>
  <si>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</si>
  <si>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</si>
  <si>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</si>
  <si>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</si>
  <si>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</si>
  <si>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</si>
  <si>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</si>
  <si>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</si>
  <si>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</si>
  <si>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</si>
  <si>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</si>
  <si>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</si>
  <si>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</si>
  <si>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</si>
  <si>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</si>
  <si>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</si>
  <si>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</si>
  <si>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</si>
  <si>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</si>
  <si>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</si>
  <si>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</si>
  <si>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</si>
  <si>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</si>
  <si>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</si>
  <si>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</si>
  <si>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</si>
  <si>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</si>
  <si>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</si>
  <si>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</si>
  <si>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</si>
  <si>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</si>
  <si>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</si>
  <si>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</si>
  <si>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</si>
  <si>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</si>
  <si>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</si>
  <si>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</si>
  <si>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</si>
  <si>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</si>
  <si>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</si>
  <si>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</si>
  <si>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</si>
  <si>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</si>
  <si>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</si>
  <si>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</si>
  <si>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</si>
  <si>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</si>
  <si>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</si>
  <si>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</si>
  <si>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</si>
  <si>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</si>
  <si>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</si>
  <si>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</si>
  <si>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</si>
  <si>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</si>
  <si>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</si>
  <si>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</si>
  <si>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</si>
  <si>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</si>
  <si>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</si>
  <si>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</si>
  <si>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</si>
  <si>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</si>
  <si>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</si>
  <si>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</si>
  <si>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</si>
  <si>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</si>
  <si>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</si>
  <si>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</si>
  <si>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</si>
  <si>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</si>
  <si>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</si>
  <si>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</si>
  <si>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</si>
  <si>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</si>
  <si>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</si>
  <si>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</si>
  <si>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</si>
  <si>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</si>
  <si>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</si>
  <si>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</si>
  <si>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</si>
  <si>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</si>
  <si>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</si>
  <si>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</si>
  <si>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</si>
  <si>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</si>
  <si>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</si>
  <si>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</si>
  <si>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</si>
  <si>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</si>
  <si>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</si>
  <si>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</si>
  <si>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</si>
  <si>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</si>
  <si>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</si>
  <si>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</si>
  <si>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</si>
  <si>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</si>
  <si>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</si>
  <si>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</si>
  <si>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</si>
  <si>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</si>
  <si>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</si>
  <si>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</si>
  <si>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</si>
  <si>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</si>
  <si>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</si>
  <si>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</si>
  <si>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</si>
  <si>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</si>
  <si>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</si>
  <si>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</si>
  <si>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</si>
  <si>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</si>
  <si>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</si>
  <si>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</si>
  <si>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</si>
  <si>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</si>
  <si>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</si>
  <si>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</si>
  <si>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</si>
  <si>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</si>
  <si>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</si>
  <si>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</si>
  <si>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</si>
  <si>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</si>
  <si>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</si>
  <si>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</si>
  <si>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</si>
  <si>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</si>
  <si>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</si>
  <si>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</si>
  <si>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</si>
  <si>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</si>
  <si>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</si>
  <si>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</si>
  <si>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</si>
  <si>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</si>
  <si>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</si>
  <si>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</si>
  <si>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</si>
  <si>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</si>
  <si>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</si>
  <si>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</si>
  <si>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</si>
  <si>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</si>
  <si>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</si>
  <si>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</si>
  <si>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</si>
  <si>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</si>
  <si>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</si>
  <si>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</si>
  <si>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</si>
  <si>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</si>
  <si>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</si>
  <si>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</si>
  <si>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</si>
  <si>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</si>
  <si>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</si>
  <si>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</si>
  <si>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</si>
  <si>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</si>
  <si>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</si>
  <si>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</si>
  <si>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</si>
  <si>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</si>
  <si>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</si>
  <si>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</si>
  <si>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</si>
  <si>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</si>
  <si>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</si>
  <si>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</si>
  <si>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</si>
  <si>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</si>
  <si>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</si>
  <si>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</si>
  <si>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</si>
  <si>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</si>
  <si>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</si>
  <si>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</si>
  <si>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</si>
  <si>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</si>
  <si>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</si>
  <si>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</si>
  <si>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</si>
  <si>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</si>
  <si>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</si>
  <si>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</si>
  <si>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</si>
  <si>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</si>
  <si>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</si>
  <si>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</si>
  <si>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</si>
  <si>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</si>
  <si>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</si>
  <si>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</si>
  <si>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</si>
  <si>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</si>
  <si>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</si>
  <si>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</si>
  <si>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</si>
  <si>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</si>
  <si>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</si>
  <si>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</si>
  <si>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</si>
  <si>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</si>
  <si>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</si>
  <si>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</si>
  <si>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</si>
  <si>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</si>
  <si>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</si>
  <si>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</si>
  <si>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</si>
  <si>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</si>
  <si>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</si>
  <si>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</si>
  <si>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</si>
  <si>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</si>
  <si>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</si>
  <si>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</si>
  <si>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</si>
  <si>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</si>
  <si>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</si>
  <si>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</si>
  <si>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</si>
  <si>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</si>
  <si>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</si>
  <si>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</si>
  <si>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</si>
  <si>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</si>
  <si>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</si>
  <si>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</si>
  <si>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</si>
  <si>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</si>
  <si>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</si>
  <si>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</si>
  <si>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</si>
  <si>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</si>
  <si>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</si>
  <si>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</si>
  <si>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</si>
  <si>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</si>
  <si>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</si>
  <si>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</si>
  <si>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</si>
  <si>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</si>
  <si>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</si>
  <si>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</si>
  <si>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</si>
  <si>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</si>
  <si>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</si>
  <si>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</si>
  <si>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</si>
  <si>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</si>
  <si>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</si>
  <si>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</si>
  <si>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</si>
  <si>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</si>
  <si>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</si>
  <si>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</si>
  <si>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</si>
  <si>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</si>
  <si>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</si>
  <si>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</si>
  <si>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</si>
  <si>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</si>
  <si>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</si>
  <si>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</si>
  <si>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</si>
  <si>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</si>
  <si>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</si>
  <si>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</si>
  <si>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</si>
  <si>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</si>
  <si>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</si>
  <si>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</si>
  <si>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</si>
  <si>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</si>
  <si>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</si>
  <si>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</si>
  <si>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</si>
  <si>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</si>
  <si>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</si>
  <si>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</si>
  <si>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</si>
  <si>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</si>
  <si>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</si>
  <si>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</si>
  <si>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</si>
  <si>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</si>
  <si>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</si>
  <si>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</si>
  <si>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</si>
  <si>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</si>
  <si>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</si>
  <si>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</si>
  <si>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</si>
  <si>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</si>
  <si>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</si>
  <si>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</si>
  <si>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</si>
  <si>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</si>
  <si>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</si>
  <si>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</si>
  <si>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</si>
  <si>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</si>
  <si>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</si>
  <si>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</si>
  <si>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</si>
  <si>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</si>
  <si>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</si>
  <si>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</si>
  <si>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</si>
  <si>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</si>
  <si>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</si>
  <si>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</si>
  <si>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</si>
  <si>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</si>
  <si>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</si>
  <si>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</si>
  <si>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</si>
  <si>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</si>
  <si>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</si>
  <si>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</si>
  <si>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</si>
  <si>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</si>
  <si>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</si>
  <si>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</si>
  <si>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</si>
  <si>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</si>
  <si>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</si>
  <si>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</si>
  <si>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</si>
  <si>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</si>
  <si>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</si>
  <si>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</si>
  <si>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</si>
  <si>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</si>
  <si>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</si>
  <si>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</si>
  <si>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</si>
  <si>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</si>
  <si>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</si>
  <si>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</si>
  <si>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</si>
  <si>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</si>
  <si>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</si>
  <si>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</si>
  <si>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</si>
  <si>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</si>
  <si>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</si>
  <si>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</si>
  <si>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</si>
  <si>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</si>
  <si>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</si>
  <si>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</si>
  <si>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</si>
  <si>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</si>
  <si>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</si>
  <si>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</si>
  <si>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</si>
  <si>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</si>
  <si>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</si>
  <si>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</si>
  <si>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</si>
  <si>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</si>
  <si>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</si>
  <si>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</si>
  <si>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</si>
  <si>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</si>
  <si>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</si>
  <si>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</si>
  <si>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</si>
  <si>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</si>
  <si>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</si>
  <si>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</si>
  <si>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</si>
  <si>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</si>
  <si>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</si>
  <si>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</si>
  <si>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</si>
  <si>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</si>
  <si>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</si>
  <si>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</si>
  <si>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</si>
  <si>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</si>
  <si>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</si>
  <si>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</si>
  <si>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</si>
  <si>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</si>
  <si>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</si>
  <si>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</si>
  <si>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</si>
  <si>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</si>
  <si>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</si>
  <si>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</si>
  <si>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</si>
  <si>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</si>
  <si>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</si>
  <si>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</si>
  <si>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</si>
  <si>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</si>
  <si>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</si>
  <si>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</si>
  <si>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</si>
  <si>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</si>
  <si>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</si>
  <si>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</si>
  <si>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</si>
  <si>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</si>
  <si>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</si>
  <si>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</si>
  <si>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</si>
  <si>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</si>
  <si>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</si>
  <si>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</si>
  <si>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</si>
  <si>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</si>
  <si>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</si>
  <si>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</si>
  <si>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</si>
  <si>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</si>
  <si>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</si>
  <si>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</si>
  <si>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</si>
  <si>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</si>
  <si>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</si>
  <si>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</si>
  <si>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</si>
  <si>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</si>
  <si>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</si>
  <si>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</si>
  <si>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</si>
  <si>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</si>
  <si>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</si>
  <si>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</si>
  <si>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</si>
  <si>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</si>
  <si>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</si>
  <si>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</si>
  <si>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</si>
  <si>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</si>
  <si>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</si>
  <si>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</si>
  <si>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</si>
  <si>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</si>
  <si>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</si>
  <si>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</si>
  <si>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</si>
  <si>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</si>
  <si>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</si>
  <si>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</si>
  <si>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</si>
  <si>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</si>
  <si>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</si>
  <si>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</si>
  <si>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</si>
  <si>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</si>
  <si>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</si>
  <si>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</si>
  <si>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</si>
  <si>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</si>
  <si>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</si>
  <si>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</si>
  <si>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</si>
  <si>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</si>
  <si>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</si>
  <si>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</si>
  <si>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</si>
  <si>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</si>
  <si>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</si>
  <si>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</si>
  <si>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</si>
  <si>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</si>
  <si>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</si>
  <si>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</si>
  <si>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</si>
  <si>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</si>
  <si>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</si>
  <si>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</si>
  <si>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</si>
  <si>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</si>
  <si>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</si>
  <si>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</si>
  <si>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</si>
  <si>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</si>
  <si>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</si>
  <si>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</si>
  <si>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</si>
  <si>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</si>
  <si>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</si>
  <si>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</si>
  <si>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</si>
  <si>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</si>
  <si>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</si>
  <si>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</si>
  <si>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</si>
  <si>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</si>
  <si>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</si>
  <si>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</si>
  <si>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</si>
  <si>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</si>
  <si>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</si>
  <si>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</si>
  <si>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</si>
  <si>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</si>
  <si>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</si>
  <si>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</si>
  <si>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</si>
  <si>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</si>
  <si>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</si>
  <si>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</si>
  <si>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</si>
  <si>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</si>
  <si>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</si>
  <si>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</si>
  <si>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</si>
  <si>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</si>
  <si>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</si>
  <si>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</si>
  <si>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</si>
  <si>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</si>
  <si>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</si>
  <si>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</si>
  <si>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</si>
  <si>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</si>
  <si>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</si>
  <si>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</si>
  <si>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</si>
  <si>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</si>
  <si>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</si>
  <si>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</si>
  <si>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</si>
  <si>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</si>
  <si>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</si>
  <si>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</si>
  <si>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</si>
  <si>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</si>
  <si>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</si>
  <si>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</si>
  <si>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</si>
  <si>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</si>
  <si>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</si>
  <si>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</si>
  <si>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</si>
  <si>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</si>
  <si>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</si>
  <si>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</si>
  <si>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</si>
  <si>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</si>
  <si>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</si>
  <si>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</si>
  <si>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</si>
  <si>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</si>
  <si>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</si>
  <si>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</si>
  <si>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</si>
  <si>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</si>
  <si>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</si>
  <si>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</si>
  <si>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</si>
  <si>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</si>
  <si>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</si>
  <si>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</si>
  <si>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</si>
  <si>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</si>
  <si>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</si>
  <si>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</si>
  <si>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</si>
  <si>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</si>
  <si>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</si>
  <si>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</si>
  <si>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</si>
  <si>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</si>
  <si>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</si>
  <si>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</si>
  <si>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</si>
  <si>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</si>
  <si>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</si>
  <si>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</si>
  <si>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</si>
  <si>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</si>
  <si>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</si>
  <si>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</si>
  <si>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</si>
  <si>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</si>
  <si>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</si>
  <si>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</si>
  <si>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</si>
  <si>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</si>
  <si>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</si>
  <si>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</si>
  <si>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</si>
  <si>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</si>
  <si>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</si>
  <si>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</si>
  <si>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</si>
  <si>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</si>
  <si>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</si>
  <si>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</si>
  <si>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</si>
  <si>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</si>
  <si>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</si>
  <si>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</si>
  <si>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</si>
  <si>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</si>
  <si>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</si>
  <si>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</si>
  <si>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</si>
  <si>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</si>
  <si>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</si>
  <si>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</si>
  <si>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</si>
  <si>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</si>
  <si>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</si>
  <si>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</si>
  <si>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</si>
  <si>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</si>
  <si>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</si>
  <si>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</si>
  <si>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</si>
  <si>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</si>
  <si>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</si>
  <si>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</si>
  <si>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</si>
  <si>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</si>
  <si>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</si>
  <si>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</si>
  <si>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</si>
  <si>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</si>
  <si>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</si>
  <si>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</si>
  <si>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</si>
  <si>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</si>
  <si>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</si>
  <si>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</si>
  <si>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</si>
  <si>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</si>
  <si>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</si>
  <si>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</si>
  <si>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</si>
  <si>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</si>
  <si>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</si>
  <si>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</si>
  <si>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</si>
  <si>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</si>
  <si>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</si>
  <si>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</si>
  <si>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</si>
  <si>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</si>
  <si>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</si>
  <si>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</si>
  <si>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</si>
  <si>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</si>
  <si>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</si>
  <si>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</si>
  <si>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</si>
  <si>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</si>
  <si>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</si>
  <si>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</si>
  <si>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</si>
  <si>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</si>
  <si>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</si>
  <si>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</si>
  <si>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</si>
  <si>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</si>
  <si>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</si>
  <si>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</si>
  <si>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</si>
  <si>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</si>
  <si>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</si>
  <si>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</si>
  <si>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</si>
  <si>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</si>
  <si>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</si>
  <si>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</si>
  <si>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</si>
  <si>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</si>
  <si>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</si>
  <si>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</si>
  <si>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</si>
  <si>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</si>
  <si>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</si>
  <si>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</si>
  <si>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</si>
  <si>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</si>
  <si>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</si>
  <si>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</si>
  <si>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</si>
  <si>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</si>
  <si>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</si>
  <si>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</si>
  <si>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</si>
  <si>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</si>
  <si>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</si>
  <si>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</si>
  <si>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</si>
  <si>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</si>
  <si>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</si>
  <si>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</si>
  <si>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</si>
  <si>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</si>
  <si>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</si>
  <si>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</si>
  <si>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</si>
  <si>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</si>
  <si>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</si>
  <si>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</si>
  <si>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</si>
  <si>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</si>
  <si>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</si>
  <si>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</si>
  <si>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</si>
  <si>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</si>
  <si>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</si>
  <si>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</si>
  <si>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</si>
  <si>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</si>
  <si>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</si>
  <si>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</si>
  <si>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</si>
  <si>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</si>
  <si>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</si>
  <si>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</si>
  <si>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</si>
  <si>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</si>
  <si>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</si>
  <si>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</si>
  <si>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</si>
  <si>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</si>
  <si>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</si>
  <si>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</si>
  <si>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</si>
  <si>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</si>
  <si>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</si>
  <si>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</si>
  <si>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</si>
  <si>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</si>
  <si>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</si>
  <si>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</si>
  <si>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</si>
  <si>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</si>
  <si>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</si>
  <si>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</si>
  <si>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</si>
  <si>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</si>
  <si>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</si>
  <si>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</si>
  <si>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</si>
  <si>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</si>
  <si>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</si>
  <si>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</si>
  <si>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</si>
  <si>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</si>
  <si>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</si>
  <si>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</si>
  <si>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</si>
  <si>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</si>
  <si>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</si>
  <si>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</si>
  <si>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</si>
  <si>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</si>
  <si>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</si>
  <si>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</si>
  <si>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</si>
  <si>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</si>
  <si>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</si>
  <si>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</si>
  <si>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</si>
  <si>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</si>
  <si>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</si>
  <si>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</si>
  <si>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</si>
  <si>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</si>
  <si>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</si>
  <si>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</si>
  <si>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</si>
  <si>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</si>
  <si>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</si>
  <si>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</si>
  <si>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</si>
  <si>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</si>
  <si>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</si>
  <si>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</si>
  <si>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</si>
  <si>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</si>
  <si>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</si>
  <si>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</si>
  <si>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</si>
  <si>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</si>
  <si>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</si>
  <si>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</si>
  <si>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</si>
  <si>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</si>
  <si>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</si>
  <si>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</si>
  <si>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</si>
  <si>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</si>
  <si>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</si>
  <si>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</si>
  <si>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</si>
  <si>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</si>
  <si>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</si>
  <si>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</si>
  <si>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</si>
  <si>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</si>
  <si>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</si>
  <si>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</si>
  <si>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</si>
  <si>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</si>
  <si>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</si>
  <si>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</si>
  <si>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</si>
  <si>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</si>
  <si>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</si>
  <si>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</si>
  <si>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</si>
  <si>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</si>
  <si>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</si>
  <si>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</si>
  <si>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</si>
  <si>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</si>
  <si>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</si>
  <si>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</si>
  <si>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</si>
  <si>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</si>
  <si>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</si>
  <si>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</si>
  <si>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</si>
  <si>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</si>
  <si>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</si>
  <si>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</si>
  <si>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</si>
  <si>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</si>
  <si>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</si>
  <si>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</si>
  <si>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</si>
  <si>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</si>
  <si>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</si>
  <si>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</si>
  <si>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</si>
  <si>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</si>
  <si>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</si>
  <si>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</si>
  <si>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</si>
  <si>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</si>
  <si>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</si>
  <si>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</si>
  <si>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</si>
  <si>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</si>
  <si>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</si>
  <si>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</si>
  <si>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</si>
  <si>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</si>
  <si>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</si>
  <si>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</si>
  <si>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</si>
  <si>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</si>
  <si>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</si>
  <si>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</si>
  <si>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</si>
  <si>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</si>
  <si>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</si>
  <si>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</si>
  <si>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</si>
  <si>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</si>
  <si>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</si>
  <si>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</si>
  <si>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</si>
  <si>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</si>
  <si>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</si>
  <si>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</si>
  <si>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</si>
  <si>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</si>
  <si>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</si>
  <si>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</si>
  <si>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</si>
  <si>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</si>
  <si>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</si>
  <si>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</si>
  <si>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</si>
  <si>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</si>
  <si>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</si>
  <si>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</si>
  <si>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</si>
  <si>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</si>
  <si>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</si>
  <si>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</si>
  <si>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</si>
  <si>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</si>
  <si>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</si>
  <si>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</si>
  <si>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</si>
  <si>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</si>
  <si>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</si>
  <si>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</si>
  <si>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</si>
  <si>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</si>
  <si>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</si>
  <si>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</si>
  <si>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</si>
  <si>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</si>
  <si>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</si>
  <si>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</si>
  <si>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</si>
  <si>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</si>
  <si>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</si>
  <si>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</si>
  <si>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</si>
  <si>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</si>
  <si>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</si>
  <si>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</si>
  <si>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</si>
  <si>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</si>
  <si>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</si>
  <si>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</si>
  <si>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</si>
  <si>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</si>
  <si>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</si>
  <si>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</si>
  <si>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</si>
  <si>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</si>
  <si>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</si>
  <si>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</si>
  <si>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</si>
  <si>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</si>
  <si>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</si>
  <si>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</si>
  <si>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</si>
  <si>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</si>
  <si>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</si>
  <si>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</si>
  <si>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</si>
  <si>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</si>
  <si>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</si>
  <si>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</si>
  <si>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</si>
  <si>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</si>
  <si>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</si>
  <si>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</si>
  <si>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</si>
  <si>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</si>
  <si>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</si>
  <si>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</si>
  <si>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</si>
  <si>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</si>
  <si>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</si>
  <si>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</si>
  <si>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</si>
  <si>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</si>
  <si>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</si>
  <si>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</si>
  <si>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</si>
  <si>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</si>
  <si>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</si>
  <si>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</si>
  <si>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</si>
  <si>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</si>
  <si>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</si>
  <si>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</si>
  <si>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</si>
  <si>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</si>
  <si>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</si>
  <si>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</si>
  <si>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</si>
  <si>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</si>
  <si>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</si>
  <si>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</si>
  <si>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</si>
  <si>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</si>
  <si>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</si>
  <si>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</si>
  <si>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</si>
  <si>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</si>
  <si>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</si>
  <si>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</si>
  <si>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</si>
  <si>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</si>
  <si>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</si>
  <si>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</si>
  <si>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</si>
  <si>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</si>
  <si>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</si>
  <si>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</si>
  <si>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</si>
  <si>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</si>
  <si>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</si>
  <si>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</si>
  <si>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</si>
  <si>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</si>
  <si>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</si>
  <si>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</si>
  <si>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</si>
  <si>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</si>
  <si>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</si>
  <si>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</si>
  <si>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</si>
  <si>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</si>
  <si>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</si>
  <si>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</si>
  <si>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</si>
  <si>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</si>
  <si>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</si>
  <si>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</si>
  <si>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</si>
  <si>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</si>
  <si>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</si>
  <si>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</si>
  <si>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</si>
  <si>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</si>
  <si>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</si>
  <si>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</si>
  <si>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</si>
  <si>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</si>
  <si>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</si>
  <si>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</si>
  <si>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</si>
  <si>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</si>
  <si>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</si>
  <si>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</si>
  <si>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</si>
  <si>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</si>
  <si>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</si>
  <si>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</si>
  <si>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</si>
  <si>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</si>
  <si>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</si>
  <si>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</si>
  <si>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</si>
  <si>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</si>
  <si>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</si>
  <si>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</si>
  <si>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</si>
  <si>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</si>
  <si>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</si>
  <si>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</si>
  <si>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</si>
  <si>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</si>
  <si>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</si>
  <si>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</si>
  <si>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</si>
  <si>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</si>
  <si>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</si>
  <si>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</si>
  <si>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</si>
  <si>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</si>
  <si>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</si>
  <si>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</si>
  <si>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</si>
  <si>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</si>
  <si>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</si>
  <si>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</si>
  <si>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</si>
  <si>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</si>
  <si>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</si>
  <si>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</si>
  <si>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</si>
  <si>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</si>
  <si>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</si>
  <si>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</si>
  <si>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</si>
  <si>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</si>
  <si>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</si>
  <si>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</si>
  <si>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</si>
  <si>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</si>
  <si>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</si>
  <si>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</si>
  <si>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</si>
  <si>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</si>
  <si>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</si>
  <si>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</si>
  <si>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</si>
  <si>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</si>
  <si>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</si>
  <si>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</si>
  <si>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</si>
  <si>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</si>
  <si>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</si>
  <si>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</si>
  <si>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</si>
  <si>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</si>
  <si>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</si>
  <si>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</si>
  <si>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</si>
  <si>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</si>
  <si>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</si>
  <si>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</si>
  <si>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</si>
  <si>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</si>
  <si>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</si>
  <si>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</si>
  <si>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</si>
  <si>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</si>
  <si>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</si>
  <si>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</si>
  <si>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</si>
  <si>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</si>
  <si>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</si>
  <si>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</si>
  <si>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</si>
  <si>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</si>
  <si>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</si>
  <si>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</si>
  <si>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</si>
  <si>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</si>
  <si>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</si>
  <si>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</si>
  <si>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</si>
  <si>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</si>
  <si>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</si>
  <si>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</si>
  <si>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</si>
  <si>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</si>
  <si>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</si>
  <si>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</si>
  <si>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</si>
  <si>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</si>
  <si>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</si>
  <si>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</si>
  <si>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</si>
  <si>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</si>
  <si>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</si>
  <si>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</si>
  <si>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</si>
  <si>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</si>
  <si>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</si>
  <si>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</si>
  <si>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</si>
  <si>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</si>
  <si>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</si>
  <si>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</si>
  <si>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</si>
  <si>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</si>
  <si>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</si>
  <si>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</si>
  <si>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</si>
  <si>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</si>
  <si>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</si>
  <si>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</si>
  <si>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</si>
  <si>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</si>
  <si>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</si>
  <si>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</si>
  <si>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</si>
  <si>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</si>
  <si>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</si>
  <si>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</si>
  <si>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</si>
  <si>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</si>
  <si>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</si>
  <si>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</si>
  <si>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</si>
  <si>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</si>
  <si>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</si>
  <si>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</si>
  <si>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</si>
  <si>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</si>
  <si>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</si>
  <si>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</si>
  <si>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</si>
  <si>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</si>
  <si>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</si>
  <si>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</si>
  <si>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</si>
  <si>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</si>
  <si>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</si>
  <si>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</si>
  <si>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</si>
  <si>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</si>
  <si>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</si>
  <si>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</si>
  <si>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</si>
  <si>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</si>
  <si>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</si>
  <si>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</si>
  <si>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</si>
  <si>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</si>
  <si>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</si>
  <si>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</si>
  <si>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</si>
  <si>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</si>
  <si>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</si>
  <si>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</si>
  <si>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</si>
  <si>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</si>
  <si>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</si>
  <si>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</si>
  <si>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</si>
  <si>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</si>
  <si>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</si>
  <si>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</si>
  <si>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</si>
  <si>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</si>
  <si>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</si>
  <si>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</si>
  <si>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</si>
  <si>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</si>
  <si>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</si>
  <si>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</si>
  <si>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</si>
  <si>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</si>
  <si>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</si>
  <si>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</si>
  <si>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</si>
  <si>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</si>
  <si>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</si>
  <si>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</si>
  <si>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</si>
  <si>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</si>
  <si>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</si>
  <si>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</si>
  <si>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</si>
  <si>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</si>
  <si>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</si>
  <si>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</si>
  <si>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</si>
  <si>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</si>
  <si>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</si>
  <si>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</si>
  <si>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</si>
  <si>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</si>
  <si>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</si>
  <si>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</si>
  <si>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</si>
  <si>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</si>
  <si>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</si>
  <si>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</si>
  <si>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</si>
  <si>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</si>
  <si>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</si>
  <si>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</si>
  <si>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</si>
  <si>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</si>
  <si>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</si>
  <si>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</si>
  <si>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</si>
  <si>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</si>
  <si>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</si>
  <si>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</si>
  <si>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</si>
  <si>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</si>
  <si>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</si>
  <si>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</si>
  <si>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</si>
  <si>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</si>
  <si>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</si>
  <si>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</si>
  <si>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</si>
  <si>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</si>
  <si>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</si>
  <si>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</si>
  <si>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</si>
  <si>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</si>
  <si>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</si>
  <si>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</si>
  <si>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</si>
  <si>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</si>
  <si>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</si>
  <si>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</si>
  <si>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</si>
  <si>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</si>
  <si>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</si>
  <si>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</si>
  <si>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</si>
  <si>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</si>
  <si>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</si>
  <si>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</si>
  <si>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</si>
  <si>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</si>
  <si>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</si>
  <si>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</si>
  <si>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</si>
  <si>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</si>
  <si>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</si>
  <si>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</si>
  <si>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</si>
  <si>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</si>
  <si>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</si>
  <si>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</si>
  <si>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</si>
  <si>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</si>
  <si>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</si>
  <si>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</si>
  <si>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</si>
  <si>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</si>
  <si>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</si>
  <si>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</si>
  <si>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</si>
  <si>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</si>
  <si>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</si>
  <si>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</si>
  <si>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</si>
  <si>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</si>
  <si>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</si>
  <si>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</si>
  <si>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</si>
  <si>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</si>
  <si>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</si>
  <si>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</si>
  <si>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</si>
  <si>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</si>
  <si>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</si>
  <si>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</si>
  <si>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</si>
  <si>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</si>
  <si>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</si>
  <si>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</si>
  <si>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</si>
  <si>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</si>
  <si>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</si>
  <si>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</si>
  <si>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</si>
  <si>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</si>
  <si>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</si>
  <si>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</si>
  <si>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</si>
  <si>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</si>
  <si>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</si>
  <si>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</si>
  <si>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</si>
  <si>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</si>
  <si>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</si>
  <si>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</si>
  <si>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</si>
  <si>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</si>
  <si>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</si>
  <si>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</si>
  <si>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</si>
  <si>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</si>
  <si>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</si>
  <si>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</si>
  <si>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</si>
  <si>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</si>
  <si>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</si>
  <si>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</si>
  <si>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</si>
  <si>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</si>
  <si>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</si>
  <si>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</si>
  <si>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</si>
  <si>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</si>
  <si>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</si>
  <si>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</si>
  <si>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</si>
  <si>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</si>
  <si>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</si>
  <si>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</si>
  <si>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</si>
  <si>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</si>
  <si>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</si>
  <si>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</si>
  <si>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</si>
  <si>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</si>
  <si>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</si>
  <si>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</si>
  <si>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</si>
  <si>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</si>
  <si>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</si>
  <si>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</si>
  <si>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</si>
  <si>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</si>
  <si>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</si>
  <si>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</si>
  <si>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</si>
  <si>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</si>
  <si>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</si>
  <si>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</si>
  <si>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</si>
  <si>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</si>
  <si>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</si>
  <si>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</si>
  <si>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</si>
  <si>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</si>
  <si>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</si>
  <si>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</si>
  <si>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</si>
  <si>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</si>
  <si>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</si>
  <si>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</si>
  <si>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</si>
  <si>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</si>
  <si>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</si>
  <si>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</si>
  <si>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</si>
  <si>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</si>
  <si>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</si>
  <si>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</si>
  <si>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</si>
  <si>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</si>
  <si>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</si>
  <si>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</si>
  <si>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</si>
  <si>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</si>
  <si>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</si>
  <si>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</si>
  <si>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</si>
  <si>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</si>
  <si>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</si>
  <si>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</si>
  <si>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</si>
  <si>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</si>
  <si>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</si>
  <si>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</si>
  <si>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</si>
  <si>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</si>
  <si>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</si>
  <si>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</si>
  <si>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</si>
  <si>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</si>
  <si>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</si>
  <si>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</si>
  <si>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</si>
  <si>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</si>
  <si>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</si>
  <si>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</si>
  <si>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</si>
  <si>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</si>
  <si>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</si>
  <si>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</si>
  <si>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</si>
  <si>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</si>
  <si>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</si>
  <si>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</si>
  <si>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</si>
  <si>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</si>
  <si>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</si>
  <si>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</si>
  <si>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</si>
  <si>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</si>
  <si>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</si>
  <si>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</si>
  <si>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</si>
  <si>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</si>
  <si>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</si>
  <si>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</si>
  <si>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</si>
  <si>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</si>
  <si>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</si>
  <si>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</si>
  <si>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</si>
  <si>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</si>
  <si>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</si>
  <si>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</si>
  <si>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</si>
  <si>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</si>
  <si>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</si>
  <si>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</si>
  <si>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</si>
  <si>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</si>
  <si>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</si>
  <si>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</si>
  <si>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</si>
  <si>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</si>
  <si>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</si>
  <si>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</si>
  <si>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</si>
  <si>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</si>
  <si>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</si>
  <si>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</si>
  <si>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</si>
  <si>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</si>
  <si>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</si>
  <si>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</si>
  <si>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</si>
  <si>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</si>
  <si>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</si>
  <si>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</si>
  <si>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</si>
  <si>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</si>
  <si>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</si>
  <si>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</si>
  <si>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</si>
  <si>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</si>
  <si>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</si>
  <si>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</si>
  <si>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</si>
  <si>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</si>
  <si>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</si>
  <si>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</si>
  <si>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</si>
  <si>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</si>
  <si>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</si>
  <si>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</si>
  <si>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</si>
  <si>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</si>
  <si>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</si>
  <si>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</si>
  <si>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</si>
  <si>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</si>
  <si>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</si>
  <si>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</si>
  <si>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</si>
  <si>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</si>
  <si>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</si>
  <si>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</si>
  <si>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</si>
  <si>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</si>
  <si>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</si>
  <si>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</si>
  <si>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</si>
  <si>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</si>
  <si>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</si>
  <si>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</si>
  <si>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</si>
  <si>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</si>
  <si>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</si>
  <si>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</si>
  <si>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</si>
  <si>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</si>
  <si>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</si>
  <si>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</si>
  <si>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</si>
  <si>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</si>
  <si>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</si>
  <si>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</si>
  <si>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</si>
  <si>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</si>
  <si>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</si>
  <si>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</si>
  <si>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</si>
  <si>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</si>
  <si>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</si>
  <si>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</si>
  <si>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</si>
  <si>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</si>
  <si>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</si>
  <si>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</si>
  <si>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</si>
  <si>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</si>
  <si>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</si>
  <si>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</si>
  <si>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</si>
  <si>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</si>
  <si>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</si>
  <si>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</si>
  <si>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</si>
  <si>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</si>
  <si>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</si>
  <si>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</si>
  <si>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</si>
  <si>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</si>
  <si>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</si>
  <si>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</si>
  <si>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</si>
  <si>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</si>
  <si>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</si>
  <si>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</si>
  <si>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</si>
  <si>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</si>
  <si>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</si>
  <si>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</si>
  <si>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</si>
  <si>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</si>
  <si>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</si>
  <si>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</si>
  <si>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</si>
  <si>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</si>
  <si>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</si>
  <si>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</si>
  <si>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</si>
  <si>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</si>
  <si>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</si>
  <si>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</si>
  <si>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</si>
  <si>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</si>
  <si>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</si>
  <si>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</si>
  <si>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</si>
  <si>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</si>
  <si>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</si>
  <si>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</si>
  <si>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</si>
  <si>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</si>
  <si>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</si>
  <si>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</si>
  <si>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</si>
  <si>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</si>
  <si>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</si>
  <si>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</si>
  <si>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</si>
  <si>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</si>
  <si>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</si>
  <si>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</si>
  <si>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</si>
  <si>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</si>
  <si>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</si>
  <si>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</si>
  <si>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</si>
  <si>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</si>
  <si>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</si>
  <si>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</si>
  <si>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</si>
  <si>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</si>
  <si>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</si>
  <si>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</si>
  <si>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</si>
  <si>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</si>
  <si>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</si>
  <si>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</si>
  <si>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</si>
  <si>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</si>
  <si>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</si>
  <si>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</si>
  <si>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</si>
  <si>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</si>
  <si>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</si>
  <si>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</si>
  <si>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</si>
  <si>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</si>
  <si>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</si>
  <si>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</si>
  <si>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</si>
  <si>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</si>
  <si>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</si>
  <si>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</si>
  <si>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</si>
  <si>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</si>
  <si>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</si>
  <si>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</si>
  <si>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</si>
  <si>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</si>
  <si>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</si>
  <si>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</si>
  <si>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</si>
  <si>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</si>
  <si>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</si>
  <si>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</si>
  <si>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</si>
  <si>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</si>
  <si>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</si>
  <si>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</si>
  <si>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</si>
  <si>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</si>
  <si>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</si>
  <si>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</si>
  <si>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</si>
  <si>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</si>
  <si>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</si>
  <si>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</si>
  <si>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</si>
  <si>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</si>
  <si>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</si>
  <si>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</si>
  <si>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</si>
  <si>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</si>
  <si>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</si>
  <si>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</si>
  <si>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</si>
  <si>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</si>
  <si>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</si>
  <si>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</si>
  <si>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</si>
  <si>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</si>
  <si>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</si>
  <si>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</si>
  <si>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</si>
  <si>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</si>
  <si>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</si>
  <si>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</si>
  <si>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</si>
  <si>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</si>
  <si>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</si>
  <si>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</si>
  <si>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</si>
  <si>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</si>
  <si>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</si>
  <si>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</si>
  <si>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</si>
  <si>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</si>
  <si>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</si>
  <si>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</si>
  <si>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</si>
  <si>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</si>
  <si>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</si>
  <si>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</si>
  <si>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</si>
  <si>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</si>
  <si>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</si>
  <si>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</si>
  <si>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</si>
  <si>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</si>
  <si>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</si>
  <si>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</si>
  <si>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</si>
  <si>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</si>
  <si>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</si>
  <si>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</si>
  <si>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</si>
  <si>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</si>
  <si>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</si>
  <si>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</si>
  <si>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</si>
  <si>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</si>
  <si>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</si>
  <si>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</si>
  <si>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</si>
  <si>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</si>
  <si>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</si>
  <si>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</si>
  <si>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</si>
  <si>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</si>
  <si>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</si>
  <si>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</si>
  <si>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</si>
  <si>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</si>
  <si>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</si>
  <si>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</si>
  <si>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</si>
  <si>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</si>
  <si>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</si>
  <si>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</si>
  <si>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</si>
  <si>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</si>
  <si>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</si>
  <si>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</si>
  <si>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</si>
  <si>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</si>
  <si>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</si>
  <si>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</si>
  <si>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</si>
  <si>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</si>
  <si>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</si>
  <si>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</si>
  <si>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</si>
  <si>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</si>
  <si>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</si>
  <si>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</si>
  <si>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</si>
  <si>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</si>
  <si>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</si>
  <si>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</si>
  <si>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Average</t>
  </si>
  <si>
    <t>Median</t>
  </si>
  <si>
    <t>Count</t>
  </si>
  <si>
    <t>Minimum</t>
  </si>
  <si>
    <t>Maximum</t>
  </si>
  <si>
    <t>Row Labels</t>
  </si>
  <si>
    <t>Grand Total</t>
  </si>
  <si>
    <t>Sum of TotalPrice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</si>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</sst>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70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70" fontId="0" fillId="0" borderId="0" xfId="0" applyNumberFormat="1"/>
  </cellXfs>
  <cellStyles count="1">
    <cellStyle name="Normal" xfId="0" builtinId="0"/>
  </cellStyles>
  <dxfs count="5">
    <dxf>
      <numFmt numFmtId="170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[EDA-task 2 data analysis.xlsx]Summary!PivotTable5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Summary!$B$17:$B$18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Summary!$A$19:$A$26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Summary!$B$19:$B$26</c:f>
              <c:numCache>
                <c:formatCode>"₹"\ #,##0.00</c:formatCode>
                <c:ptCount val="7"/>
                <c:pt idx="0">
                  <c:v>48660.979999999996</c:v>
                </c:pt>
                <c:pt idx="1">
                  <c:v>39587.69000000001</c:v>
                </c:pt>
                <c:pt idx="2">
                  <c:v>43761.72</c:v>
                </c:pt>
                <c:pt idx="3">
                  <c:v>37057.440000000002</c:v>
                </c:pt>
                <c:pt idx="4">
                  <c:v>28023.259999999995</c:v>
                </c:pt>
                <c:pt idx="5">
                  <c:v>38675.160000000011</c:v>
                </c:pt>
                <c:pt idx="6">
                  <c:v>40629.960000000006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E-4D0C-9EB7-2513D408CCFA}"/>
            </c:ext>
          </c:extLst>
        </c:ser>
        <c:ser>
          <c:idx val="1"/>
          <c:order val="1"/>
          <c:tx>
            <c:strRef>
              <c:f>Summary!$C$17:$C$18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Summary!$A$19:$A$26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Summary!$C$19:$C$26</c:f>
              <c:numCache>
                <c:formatCode>"₹"\ #,##0.00</c:formatCode>
                <c:ptCount val="7"/>
                <c:pt idx="0">
                  <c:v>31465.829999999998</c:v>
                </c:pt>
                <c:pt idx="1">
                  <c:v>24225.780000000006</c:v>
                </c:pt>
                <c:pt idx="2">
                  <c:v>40714.429999999986</c:v>
                </c:pt>
                <c:pt idx="3">
                  <c:v>35999.620000000003</c:v>
                </c:pt>
                <c:pt idx="4">
                  <c:v>40345.410000000003</c:v>
                </c:pt>
                <c:pt idx="5">
                  <c:v>38054.730000000003</c:v>
                </c:pt>
                <c:pt idx="6">
                  <c:v>31794.519999999997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AE-4D0C-9EB7-2513D408CCFA}"/>
            </c:ext>
          </c:extLst>
        </c:ser>
        <c:ser>
          <c:idx val="2"/>
          <c:order val="2"/>
          <c:tx>
            <c:strRef>
              <c:f>Summary!$D$17:$D$18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Summary!$A$19:$A$26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Summary!$D$19:$D$26</c:f>
              <c:numCache>
                <c:formatCode>"₹"\ #,##0.00</c:formatCode>
                <c:ptCount val="7"/>
                <c:pt idx="0">
                  <c:v>48504.7</c:v>
                </c:pt>
                <c:pt idx="1">
                  <c:v>41390.079999999994</c:v>
                </c:pt>
                <c:pt idx="2">
                  <c:v>27758.880000000005</c:v>
                </c:pt>
                <c:pt idx="3">
                  <c:v>31144.930000000004</c:v>
                </c:pt>
                <c:pt idx="4">
                  <c:v>32192.880000000005</c:v>
                </c:pt>
                <c:pt idx="5">
                  <c:v>38546.219999999987</c:v>
                </c:pt>
                <c:pt idx="6">
                  <c:v>36790.46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AE-4D0C-9EB7-2513D408CCFA}"/>
            </c:ext>
          </c:extLst>
        </c:ser>
        <c:ser>
          <c:idx val="3"/>
          <c:order val="3"/>
          <c:tx>
            <c:strRef>
              <c:f>Summary!$E$17:$E$18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Summary!$A$19:$A$26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Summary!$E$19:$E$26</c:f>
              <c:numCache>
                <c:formatCode>"₹"\ #,##0.00</c:formatCode>
                <c:ptCount val="7"/>
                <c:pt idx="0">
                  <c:v>26638.160000000003</c:v>
                </c:pt>
                <c:pt idx="1">
                  <c:v>28831.489999999994</c:v>
                </c:pt>
                <c:pt idx="2">
                  <c:v>39654.30000000001</c:v>
                </c:pt>
                <c:pt idx="3">
                  <c:v>40524.6</c:v>
                </c:pt>
                <c:pt idx="4">
                  <c:v>29164.2</c:v>
                </c:pt>
                <c:pt idx="5">
                  <c:v>35939.089999999997</c:v>
                </c:pt>
                <c:pt idx="6">
                  <c:v>42525.859999999993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AE-4D0C-9EB7-2513D408CCFA}"/>
            </c:ext>
          </c:extLst>
        </c:ser>
        <c:ser>
          <c:idx val="4"/>
          <c:order val="4"/>
          <c:tx>
            <c:strRef>
              <c:f>Summary!$F$17:$F$18</c:f>
              <c:strCache>
                <c:ptCount val="1"/>
                <c:pt idx="0">
                  <c:v>Shipped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Summary!$A$19:$A$26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Summary!$F$19:$F$26</c:f>
              <c:numCache>
                <c:formatCode>"₹"\ #,##0.00</c:formatCode>
                <c:ptCount val="7"/>
                <c:pt idx="0">
                  <c:v>40350.44</c:v>
                </c:pt>
                <c:pt idx="1">
                  <c:v>33424.890000000007</c:v>
                </c:pt>
                <c:pt idx="2">
                  <c:v>40237.229999999996</c:v>
                </c:pt>
                <c:pt idx="3">
                  <c:v>30924.819999999996</c:v>
                </c:pt>
                <c:pt idx="4">
                  <c:v>21996.639999999999</c:v>
                </c:pt>
                <c:pt idx="5">
                  <c:v>44397.41</c:v>
                </c:pt>
                <c:pt idx="6">
                  <c:v>34828.15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AE-4D0C-9EB7-2513D408C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3813200"/>
        <c:axId val="485178736"/>
      </c:barChart>
      <c:catAx>
        <c:axId val="74381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178736"/>
        <c:crosses val="autoZero"/>
        <c:auto val="1"/>
        <c:lblAlgn val="ctr"/>
        <c:lblOffset val="100"/>
        <c:noMultiLvlLbl val="0"/>
      </c:catAx>
      <c:valAx>
        <c:axId val="48517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81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/>
    <cx:plotArea>
      <cx:plotAreaRegion>
        <cx:series layoutId="boxWhisker" uniqueId="{00000000-5C02-4E81-B894-77ED5B2A0302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00000000-6544-4125-A3F5-0834BDCC70CE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195262</xdr:colOff>
      <xdr:row>1</xdr:row>
      <xdr:rowOff>61912</xdr:rowOff>
    </xdr:from>
    <xdr:to>
      <xdr:col>9</xdr:col>
      <xdr:colOff>500062</xdr:colOff>
      <xdr:row>15</xdr:row>
      <xdr:rowOff>138112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C7A6AE3-E9C1-6B31-F6DF-DDD91C0A77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4462" y="2524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161925</xdr:colOff>
      <xdr:row>1</xdr:row>
      <xdr:rowOff>61912</xdr:rowOff>
    </xdr:from>
    <xdr:to>
      <xdr:col>17</xdr:col>
      <xdr:colOff>466725</xdr:colOff>
      <xdr:row>15</xdr:row>
      <xdr:rowOff>138112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E683DFF-2E6E-F834-B256-B736AA4D70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57925" y="2524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371475</xdr:colOff>
      <xdr:row>16</xdr:row>
      <xdr:rowOff>109537</xdr:rowOff>
    </xdr:from>
    <xdr:to>
      <xdr:col>15</xdr:col>
      <xdr:colOff>66675</xdr:colOff>
      <xdr:row>30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AAA92A-E6A4-5BC1-5E0B-7A189825B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218.001703935188" createdVersion="8" refreshedVersion="8" minRefreshableVersion="3" recordCount="1200" xr:uid="{733D7B09-1986-4D4B-BF92-19355437ECC4}">
  <cacheSource type="worksheet">
    <worksheetSource name="table1"/>
  </cacheSource>
  <cacheFields count="14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s v="Debit Card"/>
    <x v="0"/>
    <s v="TRK37947903"/>
    <n v="7"/>
    <s v="SAVE10"/>
    <s v="Instagram"/>
    <n v="2853.1"/>
  </r>
  <r>
    <s v="ORD200001"/>
    <d v="2024-08-23T00:00:00"/>
    <s v="C75739"/>
    <x v="1"/>
    <n v="2"/>
    <n v="151.35"/>
    <s v="823 Main St"/>
    <s v="Online"/>
    <x v="0"/>
    <s v="TRK91186779"/>
    <n v="3"/>
    <s v="SAVE10"/>
    <s v="Referral"/>
    <n v="302.7"/>
  </r>
  <r>
    <s v="ORD200002"/>
    <d v="2024-02-27T00:00:00"/>
    <s v="C81728"/>
    <x v="2"/>
    <n v="5"/>
    <n v="550.67999999999995"/>
    <s v="512 Main St"/>
    <s v="Credit Card"/>
    <x v="1"/>
    <s v="TRK42903982"/>
    <n v="8"/>
    <s v="FREESHIP"/>
    <s v="Email"/>
    <n v="2753.4"/>
  </r>
  <r>
    <s v="ORD200003"/>
    <d v="2023-10-15T00:00:00"/>
    <s v="C33540"/>
    <x v="3"/>
    <n v="1"/>
    <n v="273.19"/>
    <s v="275 Main St"/>
    <s v="Debit Card"/>
    <x v="2"/>
    <s v="TRK62788070"/>
    <n v="5"/>
    <s v="SAVE10"/>
    <s v="Facebook"/>
    <n v="273.19"/>
  </r>
  <r>
    <s v="ORD200004"/>
    <d v="2025-05-08T00:00:00"/>
    <s v="C81840"/>
    <x v="4"/>
    <n v="4"/>
    <n v="626.01"/>
    <s v="668 Main St"/>
    <s v="Online"/>
    <x v="3"/>
    <s v="TRK29241424"/>
    <n v="8"/>
    <s v="SAVE10"/>
    <s v="Email"/>
    <n v="2504.04"/>
  </r>
  <r>
    <s v="ORD200005"/>
    <d v="2023-10-23T00:00:00"/>
    <s v="C37249"/>
    <x v="1"/>
    <n v="2"/>
    <n v="245.86"/>
    <s v="934 Main St"/>
    <s v="Credit Card"/>
    <x v="0"/>
    <s v="TRK72976927"/>
    <n v="4"/>
    <s v="SAVE10"/>
    <s v="Instagram"/>
    <n v="491.72"/>
  </r>
  <r>
    <s v="ORD200006"/>
    <d v="2025-06-17T00:00:00"/>
    <s v="C83492"/>
    <x v="5"/>
    <n v="1"/>
    <n v="664.42"/>
    <s v="986 Main St"/>
    <s v="Gift Card"/>
    <x v="2"/>
    <s v="TRK96417362"/>
    <n v="6"/>
    <s v="SAVE10"/>
    <s v="Facebook"/>
    <n v="664.42"/>
  </r>
  <r>
    <s v="ORD200007"/>
    <d v="2023-05-12T00:00:00"/>
    <s v="C41460"/>
    <x v="0"/>
    <n v="5"/>
    <n v="149.55000000000001"/>
    <s v="706 Main St"/>
    <s v="Cash"/>
    <x v="0"/>
    <s v="TRK78809193"/>
    <n v="9"/>
    <s v="FREESHIP"/>
    <s v="Facebook"/>
    <n v="747.75"/>
  </r>
  <r>
    <s v="ORD200008"/>
    <d v="2025-04-02T00:00:00"/>
    <s v="C26817"/>
    <x v="1"/>
    <n v="2"/>
    <n v="134.28"/>
    <s v="904 Main St"/>
    <s v="Gift Card"/>
    <x v="1"/>
    <s v="TRK61042692"/>
    <n v="2"/>
    <s v="No COUPON"/>
    <s v="Email"/>
    <n v="268.56"/>
  </r>
  <r>
    <s v="ORD200009"/>
    <d v="2023-11-21T00:00:00"/>
    <s v="C31946"/>
    <x v="6"/>
    <n v="4"/>
    <n v="509.38"/>
    <s v="102 Main St"/>
    <s v="Credit Card"/>
    <x v="0"/>
    <s v="TRK33478363"/>
    <n v="6"/>
    <s v="SAVE10"/>
    <s v="Google"/>
    <n v="2037.52"/>
  </r>
  <r>
    <s v="ORD200010"/>
    <d v="2023-12-29T00:00:00"/>
    <s v="C43443"/>
    <x v="2"/>
    <n v="5"/>
    <n v="625.97"/>
    <s v="333 Main St"/>
    <s v="Credit Card"/>
    <x v="2"/>
    <s v="TRK98859248"/>
    <n v="9"/>
    <s v="WINTER15"/>
    <s v="Instagram"/>
    <n v="3129.85"/>
  </r>
  <r>
    <s v="ORD200011"/>
    <d v="2024-02-17T00:00:00"/>
    <s v="C93861"/>
    <x v="0"/>
    <n v="3"/>
    <n v="49.14"/>
    <s v="831 Main St"/>
    <s v="Online"/>
    <x v="2"/>
    <s v="TRK48234646"/>
    <n v="7"/>
    <s v="SAVE10"/>
    <s v="Email"/>
    <n v="147.41999999999999"/>
  </r>
  <r>
    <s v="ORD200012"/>
    <d v="2024-10-15T00:00:00"/>
    <s v="C38785"/>
    <x v="0"/>
    <n v="2"/>
    <n v="180.5"/>
    <s v="179 Main St"/>
    <s v="Debit Card"/>
    <x v="4"/>
    <s v="TRK20419991"/>
    <n v="6"/>
    <s v="FREESHIP"/>
    <s v="Referral"/>
    <n v="361"/>
  </r>
  <r>
    <s v="ORD200013"/>
    <d v="2023-08-30T00:00:00"/>
    <s v="C88348"/>
    <x v="5"/>
    <n v="3"/>
    <n v="201.49"/>
    <s v="903 Main St"/>
    <s v="Credit Card"/>
    <x v="2"/>
    <s v="TRK81913874"/>
    <n v="4"/>
    <s v="FREESHIP"/>
    <s v="Facebook"/>
    <n v="604.47"/>
  </r>
  <r>
    <s v="ORD200014"/>
    <d v="2023-03-27T00:00:00"/>
    <s v="C98474"/>
    <x v="2"/>
    <n v="2"/>
    <n v="393.33"/>
    <s v="980 Main St"/>
    <s v="Debit Card"/>
    <x v="4"/>
    <s v="TRK79186539"/>
    <n v="3"/>
    <s v="SAVE10"/>
    <s v="Instagram"/>
    <n v="786.66"/>
  </r>
  <r>
    <s v="ORD200015"/>
    <d v="2023-07-17T00:00:00"/>
    <s v="C39416"/>
    <x v="4"/>
    <n v="1"/>
    <n v="473.96"/>
    <s v="942 Main St"/>
    <s v="Cash"/>
    <x v="3"/>
    <s v="TRK54930938"/>
    <n v="3"/>
    <s v="No COUPON"/>
    <s v="Google"/>
    <n v="473.96"/>
  </r>
  <r>
    <s v="ORD200016"/>
    <d v="2023-01-24T00:00:00"/>
    <s v="C28976"/>
    <x v="4"/>
    <n v="2"/>
    <n v="533.80999999999995"/>
    <s v="914 Main St"/>
    <s v="Credit Card"/>
    <x v="4"/>
    <s v="TRK13194259"/>
    <n v="3"/>
    <s v="FREESHIP"/>
    <s v="Email"/>
    <n v="1067.6199999999999"/>
  </r>
  <r>
    <s v="ORD200017"/>
    <d v="2024-03-02T00:00:00"/>
    <s v="C60672"/>
    <x v="2"/>
    <n v="1"/>
    <n v="423.4"/>
    <s v="382 Main St"/>
    <s v="Debit Card"/>
    <x v="0"/>
    <s v="TRK11972116"/>
    <n v="3"/>
    <s v="No COUPON"/>
    <s v="Referral"/>
    <n v="423.4"/>
  </r>
  <r>
    <s v="ORD200018"/>
    <d v="2025-03-26T00:00:00"/>
    <s v="C84329"/>
    <x v="6"/>
    <n v="1"/>
    <n v="431.44"/>
    <s v="891 Main St"/>
    <s v="Gift Card"/>
    <x v="4"/>
    <s v="TRK65191045"/>
    <n v="3"/>
    <s v="SAVE10"/>
    <s v="Facebook"/>
    <n v="431.44"/>
  </r>
  <r>
    <s v="ORD200019"/>
    <d v="2023-01-23T00:00:00"/>
    <s v="C14552"/>
    <x v="0"/>
    <n v="5"/>
    <n v="224"/>
    <s v="273 Main St"/>
    <s v="Cash"/>
    <x v="2"/>
    <s v="TRK59101365"/>
    <n v="9"/>
    <s v="SAVE10"/>
    <s v="Google"/>
    <n v="1120"/>
  </r>
  <r>
    <s v="ORD200020"/>
    <d v="2023-05-08T00:00:00"/>
    <s v="C54829"/>
    <x v="3"/>
    <n v="5"/>
    <n v="62.51"/>
    <s v="587 Main St"/>
    <s v="Cash"/>
    <x v="4"/>
    <s v="TRK16718651"/>
    <n v="9"/>
    <s v="WINTER15"/>
    <s v="Instagram"/>
    <n v="312.55"/>
  </r>
  <r>
    <s v="ORD200021"/>
    <d v="2024-11-17T00:00:00"/>
    <s v="C99023"/>
    <x v="0"/>
    <n v="4"/>
    <n v="342.95"/>
    <s v="569 Main St"/>
    <s v="Cash"/>
    <x v="3"/>
    <s v="TRK52646983"/>
    <n v="6"/>
    <s v="No COUPON"/>
    <s v="Google"/>
    <n v="1371.8"/>
  </r>
  <r>
    <s v="ORD200022"/>
    <d v="2023-01-29T00:00:00"/>
    <s v="C34416"/>
    <x v="0"/>
    <n v="2"/>
    <n v="49.62"/>
    <s v="633 Main St"/>
    <s v="Online"/>
    <x v="4"/>
    <s v="TRK75937350"/>
    <n v="2"/>
    <s v="SAVE10"/>
    <s v="Google"/>
    <n v="99.24"/>
  </r>
  <r>
    <s v="ORD200023"/>
    <d v="2025-04-09T00:00:00"/>
    <s v="C42372"/>
    <x v="1"/>
    <n v="4"/>
    <n v="273.25"/>
    <s v="755 Main St"/>
    <s v="Debit Card"/>
    <x v="1"/>
    <s v="TRK36168083"/>
    <n v="5"/>
    <s v="FREESHIP"/>
    <s v="Referral"/>
    <n v="1093"/>
  </r>
  <r>
    <s v="ORD200024"/>
    <d v="2024-10-30T00:00:00"/>
    <s v="C17470"/>
    <x v="5"/>
    <n v="2"/>
    <n v="230.95"/>
    <s v="956 Main St"/>
    <s v="Online"/>
    <x v="3"/>
    <s v="TRK28775057"/>
    <n v="3"/>
    <s v="WINTER15"/>
    <s v="Referral"/>
    <n v="461.9"/>
  </r>
  <r>
    <s v="ORD200025"/>
    <d v="2024-07-24T00:00:00"/>
    <s v="C42577"/>
    <x v="0"/>
    <n v="1"/>
    <n v="399.98"/>
    <s v="709 Main St"/>
    <s v="Debit Card"/>
    <x v="3"/>
    <s v="TRK69423327"/>
    <n v="3"/>
    <s v="WINTER15"/>
    <s v="Email"/>
    <n v="399.98"/>
  </r>
  <r>
    <s v="ORD200026"/>
    <d v="2024-03-06T00:00:00"/>
    <s v="C21944"/>
    <x v="5"/>
    <n v="5"/>
    <n v="59.55"/>
    <s v="296 Main St"/>
    <s v="Online"/>
    <x v="3"/>
    <s v="TRK80276812"/>
    <n v="6"/>
    <s v="No COUPON"/>
    <s v="Referral"/>
    <n v="297.75"/>
  </r>
  <r>
    <s v="ORD200027"/>
    <d v="2024-02-22T00:00:00"/>
    <s v="C97593"/>
    <x v="4"/>
    <n v="1"/>
    <n v="472.74"/>
    <s v="881 Main St"/>
    <s v="Online"/>
    <x v="0"/>
    <s v="TRK89117573"/>
    <n v="6"/>
    <s v="WINTER15"/>
    <s v="Google"/>
    <n v="472.74"/>
  </r>
  <r>
    <s v="ORD200028"/>
    <d v="2023-11-21T00:00:00"/>
    <s v="C59823"/>
    <x v="1"/>
    <n v="4"/>
    <n v="160.07"/>
    <s v="568 Main St"/>
    <s v="Online"/>
    <x v="4"/>
    <s v="TRK65895539"/>
    <n v="5"/>
    <s v="No COUPON"/>
    <s v="Email"/>
    <n v="640.28"/>
  </r>
  <r>
    <s v="ORD200029"/>
    <d v="2024-09-20T00:00:00"/>
    <s v="C33260"/>
    <x v="6"/>
    <n v="3"/>
    <n v="423.53"/>
    <s v="930 Main St"/>
    <s v="Credit Card"/>
    <x v="3"/>
    <s v="TRK59744090"/>
    <n v="6"/>
    <s v="SAVE10"/>
    <s v="Referral"/>
    <n v="1270.5899999999999"/>
  </r>
  <r>
    <s v="ORD200030"/>
    <d v="2025-03-22T00:00:00"/>
    <s v="C44267"/>
    <x v="0"/>
    <n v="2"/>
    <n v="426.7"/>
    <s v="895 Main St"/>
    <s v="Online"/>
    <x v="4"/>
    <s v="TRK54751444"/>
    <n v="5"/>
    <s v="SAVE10"/>
    <s v="Referral"/>
    <n v="853.4"/>
  </r>
  <r>
    <s v="ORD200031"/>
    <d v="2023-06-30T00:00:00"/>
    <s v="C26445"/>
    <x v="3"/>
    <n v="3"/>
    <n v="500.08"/>
    <s v="996 Main St"/>
    <s v="Debit Card"/>
    <x v="2"/>
    <s v="TRK31229981"/>
    <n v="6"/>
    <s v="No COUPON"/>
    <s v="Facebook"/>
    <n v="1500.24"/>
  </r>
  <r>
    <s v="ORD200032"/>
    <d v="2023-05-01T00:00:00"/>
    <s v="C12388"/>
    <x v="2"/>
    <n v="5"/>
    <n v="536.72"/>
    <s v="830 Main St"/>
    <s v="Cash"/>
    <x v="3"/>
    <s v="TRK99261395"/>
    <n v="10"/>
    <s v="No COUPON"/>
    <s v="Email"/>
    <n v="2683.6"/>
  </r>
  <r>
    <s v="ORD200033"/>
    <d v="2023-06-05T00:00:00"/>
    <s v="C52184"/>
    <x v="3"/>
    <n v="1"/>
    <n v="162.77000000000001"/>
    <s v="912 Main St"/>
    <s v="Online"/>
    <x v="1"/>
    <s v="TRK73312471"/>
    <n v="4"/>
    <s v="WINTER15"/>
    <s v="Facebook"/>
    <n v="162.77000000000001"/>
  </r>
  <r>
    <s v="ORD200034"/>
    <d v="2023-01-07T00:00:00"/>
    <s v="C67195"/>
    <x v="3"/>
    <n v="4"/>
    <n v="576.52"/>
    <s v="926 Main St"/>
    <s v="Credit Card"/>
    <x v="4"/>
    <s v="TRK55467915"/>
    <n v="5"/>
    <s v="WINTER15"/>
    <s v="Facebook"/>
    <n v="2306.08"/>
  </r>
  <r>
    <s v="ORD200035"/>
    <d v="2024-12-07T00:00:00"/>
    <s v="C50304"/>
    <x v="0"/>
    <n v="2"/>
    <n v="465.15"/>
    <s v="128 Main St"/>
    <s v="Online"/>
    <x v="0"/>
    <s v="TRK46850888"/>
    <n v="2"/>
    <s v="SAVE10"/>
    <s v="Facebook"/>
    <n v="930.3"/>
  </r>
  <r>
    <s v="ORD200036"/>
    <d v="2025-05-08T00:00:00"/>
    <s v="C59337"/>
    <x v="5"/>
    <n v="2"/>
    <n v="534.42999999999995"/>
    <s v="465 Main St"/>
    <s v="Debit Card"/>
    <x v="4"/>
    <s v="TRK50961250"/>
    <n v="5"/>
    <s v="No COUPON"/>
    <s v="Facebook"/>
    <n v="1068.8599999999999"/>
  </r>
  <r>
    <s v="ORD200037"/>
    <d v="2024-10-14T00:00:00"/>
    <s v="C10054"/>
    <x v="5"/>
    <n v="2"/>
    <n v="76.739999999999995"/>
    <s v="409 Main St"/>
    <s v="Cash"/>
    <x v="2"/>
    <s v="TRK94005261"/>
    <n v="7"/>
    <s v="SAVE10"/>
    <s v="Instagram"/>
    <n v="153.47999999999999"/>
  </r>
  <r>
    <s v="ORD200038"/>
    <d v="2024-12-19T00:00:00"/>
    <s v="C15924"/>
    <x v="5"/>
    <n v="1"/>
    <n v="245.89"/>
    <s v="549 Main St"/>
    <s v="Debit Card"/>
    <x v="3"/>
    <s v="TRK14835975"/>
    <n v="3"/>
    <s v="SAVE10"/>
    <s v="Google"/>
    <n v="245.89"/>
  </r>
  <r>
    <s v="ORD200039"/>
    <d v="2025-02-27T00:00:00"/>
    <s v="C96664"/>
    <x v="4"/>
    <n v="3"/>
    <n v="256.45999999999998"/>
    <s v="666 Main St"/>
    <s v="Credit Card"/>
    <x v="3"/>
    <s v="TRK85508960"/>
    <n v="4"/>
    <s v="SAVE10"/>
    <s v="Referral"/>
    <n v="769.37999999999988"/>
  </r>
  <r>
    <s v="ORD200040"/>
    <d v="2023-08-20T00:00:00"/>
    <s v="C84766"/>
    <x v="6"/>
    <n v="2"/>
    <n v="344.02"/>
    <s v="267 Main St"/>
    <s v="Online"/>
    <x v="3"/>
    <s v="TRK78967923"/>
    <n v="4"/>
    <s v="FREESHIP"/>
    <s v="Instagram"/>
    <n v="688.04"/>
  </r>
  <r>
    <s v="ORD200041"/>
    <d v="2023-12-05T00:00:00"/>
    <s v="C20212"/>
    <x v="0"/>
    <n v="3"/>
    <n v="611.45000000000005"/>
    <s v="657 Main St"/>
    <s v="Gift Card"/>
    <x v="4"/>
    <s v="TRK69733327"/>
    <n v="4"/>
    <s v="FREESHIP"/>
    <s v="Instagram"/>
    <n v="1834.35"/>
  </r>
  <r>
    <s v="ORD200042"/>
    <d v="2024-05-06T00:00:00"/>
    <s v="C28712"/>
    <x v="4"/>
    <n v="2"/>
    <n v="151.66"/>
    <s v="980 Main St"/>
    <s v="Cash"/>
    <x v="1"/>
    <s v="TRK40772558"/>
    <n v="6"/>
    <s v="No COUPON"/>
    <s v="Instagram"/>
    <n v="303.32"/>
  </r>
  <r>
    <s v="ORD200043"/>
    <d v="2023-12-14T00:00:00"/>
    <s v="C60572"/>
    <x v="3"/>
    <n v="3"/>
    <n v="499.21"/>
    <s v="871 Main St"/>
    <s v="Online"/>
    <x v="1"/>
    <s v="TRK20351666"/>
    <n v="8"/>
    <s v="No COUPON"/>
    <s v="Instagram"/>
    <n v="1497.63"/>
  </r>
  <r>
    <s v="ORD200044"/>
    <d v="2025-04-21T00:00:00"/>
    <s v="C73225"/>
    <x v="1"/>
    <n v="2"/>
    <n v="550.17999999999995"/>
    <s v="996 Main St"/>
    <s v="Gift Card"/>
    <x v="2"/>
    <s v="TRK73848522"/>
    <n v="3"/>
    <s v="FREESHIP"/>
    <s v="Referral"/>
    <n v="1100.3599999999999"/>
  </r>
  <r>
    <s v="ORD200045"/>
    <d v="2024-02-10T00:00:00"/>
    <s v="C17388"/>
    <x v="3"/>
    <n v="1"/>
    <n v="317.25"/>
    <s v="157 Main St"/>
    <s v="Debit Card"/>
    <x v="2"/>
    <s v="TRK47077395"/>
    <n v="1"/>
    <s v="SAVE10"/>
    <s v="Facebook"/>
    <n v="317.25"/>
  </r>
  <r>
    <s v="ORD200046"/>
    <d v="2024-06-26T00:00:00"/>
    <s v="C43212"/>
    <x v="0"/>
    <n v="4"/>
    <n v="550.14"/>
    <s v="223 Main St"/>
    <s v="Debit Card"/>
    <x v="4"/>
    <s v="TRK25100762"/>
    <n v="4"/>
    <s v="FREESHIP"/>
    <s v="Instagram"/>
    <n v="2200.56"/>
  </r>
  <r>
    <s v="ORD200047"/>
    <d v="2023-07-19T00:00:00"/>
    <s v="C38134"/>
    <x v="6"/>
    <n v="2"/>
    <n v="209.94"/>
    <s v="323 Main St"/>
    <s v="Credit Card"/>
    <x v="2"/>
    <s v="TRK42450754"/>
    <n v="3"/>
    <s v="FREESHIP"/>
    <s v="Email"/>
    <n v="419.88"/>
  </r>
  <r>
    <s v="ORD200048"/>
    <d v="2023-08-26T00:00:00"/>
    <s v="C12408"/>
    <x v="0"/>
    <n v="2"/>
    <n v="80.77"/>
    <s v="464 Main St"/>
    <s v="Debit Card"/>
    <x v="0"/>
    <s v="TRK38938858"/>
    <n v="4"/>
    <s v="No COUPON"/>
    <s v="Google"/>
    <n v="161.54"/>
  </r>
  <r>
    <s v="ORD200049"/>
    <d v="2023-10-07T00:00:00"/>
    <s v="C11985"/>
    <x v="4"/>
    <n v="1"/>
    <n v="30.44"/>
    <s v="633 Main St"/>
    <s v="Credit Card"/>
    <x v="0"/>
    <s v="TRK53272402"/>
    <n v="1"/>
    <s v="SAVE10"/>
    <s v="Email"/>
    <n v="30.44"/>
  </r>
  <r>
    <s v="ORD200050"/>
    <d v="2023-07-31T00:00:00"/>
    <s v="C96494"/>
    <x v="2"/>
    <n v="1"/>
    <n v="179.22"/>
    <s v="446 Main St"/>
    <s v="Online"/>
    <x v="1"/>
    <s v="TRK14675049"/>
    <n v="6"/>
    <s v="FREESHIP"/>
    <s v="Instagram"/>
    <n v="179.22"/>
  </r>
  <r>
    <s v="ORD200051"/>
    <d v="2024-12-30T00:00:00"/>
    <s v="C36778"/>
    <x v="2"/>
    <n v="1"/>
    <n v="388.33"/>
    <s v="434 Main St"/>
    <s v="Cash"/>
    <x v="2"/>
    <s v="TRK67610289"/>
    <n v="2"/>
    <s v="SAVE10"/>
    <s v="Facebook"/>
    <n v="388.33"/>
  </r>
  <r>
    <s v="ORD200052"/>
    <d v="2024-09-08T00:00:00"/>
    <s v="C30513"/>
    <x v="2"/>
    <n v="1"/>
    <n v="586.44000000000005"/>
    <s v="232 Main St"/>
    <s v="Online"/>
    <x v="2"/>
    <s v="TRK64320429"/>
    <n v="5"/>
    <s v="SAVE10"/>
    <s v="Facebook"/>
    <n v="586.44000000000005"/>
  </r>
  <r>
    <s v="ORD200053"/>
    <d v="2024-05-18T00:00:00"/>
    <s v="C67551"/>
    <x v="1"/>
    <n v="4"/>
    <n v="488.78"/>
    <s v="512 Main St"/>
    <s v="Online"/>
    <x v="2"/>
    <s v="TRK94992552"/>
    <n v="5"/>
    <s v="FREESHIP"/>
    <s v="Google"/>
    <n v="1955.12"/>
  </r>
  <r>
    <s v="ORD200054"/>
    <d v="2025-03-27T00:00:00"/>
    <s v="C48120"/>
    <x v="3"/>
    <n v="1"/>
    <n v="280.25"/>
    <s v="623 Main St"/>
    <s v="Online"/>
    <x v="4"/>
    <s v="TRK11014449"/>
    <n v="5"/>
    <s v="WINTER15"/>
    <s v="Email"/>
    <n v="280.25"/>
  </r>
  <r>
    <s v="ORD200055"/>
    <d v="2025-06-24T00:00:00"/>
    <s v="C95984"/>
    <x v="4"/>
    <n v="3"/>
    <n v="344.4"/>
    <s v="565 Main St"/>
    <s v="Online"/>
    <x v="1"/>
    <s v="TRK67434829"/>
    <n v="3"/>
    <s v="No COUPON"/>
    <s v="Facebook"/>
    <n v="1033.2"/>
  </r>
  <r>
    <s v="ORD200056"/>
    <d v="2023-05-21T00:00:00"/>
    <s v="C54298"/>
    <x v="2"/>
    <n v="3"/>
    <n v="479.21"/>
    <s v="566 Main St"/>
    <s v="Cash"/>
    <x v="1"/>
    <s v="TRK62902341"/>
    <n v="5"/>
    <s v="WINTER15"/>
    <s v="Referral"/>
    <n v="1437.63"/>
  </r>
  <r>
    <s v="ORD200057"/>
    <d v="2023-01-22T00:00:00"/>
    <s v="C88036"/>
    <x v="4"/>
    <n v="5"/>
    <n v="314.27"/>
    <s v="842 Main St"/>
    <s v="Cash"/>
    <x v="2"/>
    <s v="TRK52470128"/>
    <n v="6"/>
    <s v="SAVE10"/>
    <s v="Instagram"/>
    <n v="1571.35"/>
  </r>
  <r>
    <s v="ORD200058"/>
    <d v="2023-01-15T00:00:00"/>
    <s v="C60190"/>
    <x v="1"/>
    <n v="4"/>
    <n v="474.69"/>
    <s v="202 Main St"/>
    <s v="Gift Card"/>
    <x v="1"/>
    <s v="TRK70857868"/>
    <n v="6"/>
    <s v="SAVE10"/>
    <s v="Google"/>
    <n v="1898.76"/>
  </r>
  <r>
    <s v="ORD200059"/>
    <d v="2024-09-11T00:00:00"/>
    <s v="C97603"/>
    <x v="3"/>
    <n v="4"/>
    <n v="593.27"/>
    <s v="811 Main St"/>
    <s v="Online"/>
    <x v="0"/>
    <s v="TRK47055028"/>
    <n v="5"/>
    <s v="No COUPON"/>
    <s v="Facebook"/>
    <n v="2373.08"/>
  </r>
  <r>
    <s v="ORD200060"/>
    <d v="2024-08-21T00:00:00"/>
    <s v="C39256"/>
    <x v="6"/>
    <n v="1"/>
    <n v="417.1"/>
    <s v="634 Main St"/>
    <s v="Debit Card"/>
    <x v="2"/>
    <s v="TRK23412025"/>
    <n v="3"/>
    <s v="FREESHIP"/>
    <s v="Referral"/>
    <n v="417.1"/>
  </r>
  <r>
    <s v="ORD200061"/>
    <d v="2024-03-24T00:00:00"/>
    <s v="C61618"/>
    <x v="6"/>
    <n v="4"/>
    <n v="122.2"/>
    <s v="104 Main St"/>
    <s v="Cash"/>
    <x v="3"/>
    <s v="TRK43458485"/>
    <n v="7"/>
    <s v="FREESHIP"/>
    <s v="Facebook"/>
    <n v="488.8"/>
  </r>
  <r>
    <s v="ORD200062"/>
    <d v="2023-08-22T00:00:00"/>
    <s v="C36497"/>
    <x v="6"/>
    <n v="2"/>
    <n v="43.15"/>
    <s v="691 Main St"/>
    <s v="Debit Card"/>
    <x v="4"/>
    <s v="TRK12102911"/>
    <n v="3"/>
    <s v="WINTER15"/>
    <s v="Email"/>
    <n v="86.3"/>
  </r>
  <r>
    <s v="ORD200063"/>
    <d v="2025-02-02T00:00:00"/>
    <s v="C96695"/>
    <x v="3"/>
    <n v="1"/>
    <n v="564.86"/>
    <s v="813 Main St"/>
    <s v="Debit Card"/>
    <x v="0"/>
    <s v="TRK64283851"/>
    <n v="6"/>
    <s v="WINTER15"/>
    <s v="Referral"/>
    <n v="564.86"/>
  </r>
  <r>
    <s v="ORD200064"/>
    <d v="2025-06-25T00:00:00"/>
    <s v="C49720"/>
    <x v="4"/>
    <n v="3"/>
    <n v="130.61000000000001"/>
    <s v="752 Main St"/>
    <s v="Debit Card"/>
    <x v="1"/>
    <s v="TRK55785217"/>
    <n v="4"/>
    <s v="FREESHIP"/>
    <s v="Facebook"/>
    <n v="391.83"/>
  </r>
  <r>
    <s v="ORD200065"/>
    <d v="2023-12-30T00:00:00"/>
    <s v="C97735"/>
    <x v="0"/>
    <n v="5"/>
    <n v="81.7"/>
    <s v="385 Main St"/>
    <s v="Credit Card"/>
    <x v="3"/>
    <s v="TRK13743703"/>
    <n v="6"/>
    <s v="No COUPON"/>
    <s v="Instagram"/>
    <n v="408.5"/>
  </r>
  <r>
    <s v="ORD200066"/>
    <d v="2024-11-15T00:00:00"/>
    <s v="C18104"/>
    <x v="3"/>
    <n v="5"/>
    <n v="127.18"/>
    <s v="715 Main St"/>
    <s v="Cash"/>
    <x v="1"/>
    <s v="TRK15488568"/>
    <n v="9"/>
    <s v="SAVE10"/>
    <s v="Referral"/>
    <n v="635.90000000000009"/>
  </r>
  <r>
    <s v="ORD200067"/>
    <d v="2024-12-09T00:00:00"/>
    <s v="C25587"/>
    <x v="4"/>
    <n v="4"/>
    <n v="12.1"/>
    <s v="440 Main St"/>
    <s v="Debit Card"/>
    <x v="1"/>
    <s v="TRK55105323"/>
    <n v="8"/>
    <s v="No COUPON"/>
    <s v="Google"/>
    <n v="48.4"/>
  </r>
  <r>
    <s v="ORD200068"/>
    <d v="2023-12-11T00:00:00"/>
    <s v="C41598"/>
    <x v="3"/>
    <n v="3"/>
    <n v="490.92"/>
    <s v="709 Main St"/>
    <s v="Credit Card"/>
    <x v="4"/>
    <s v="TRK81665940"/>
    <n v="5"/>
    <s v="FREESHIP"/>
    <s v="Email"/>
    <n v="1472.76"/>
  </r>
  <r>
    <s v="ORD200069"/>
    <d v="2023-05-11T00:00:00"/>
    <s v="C43338"/>
    <x v="0"/>
    <n v="3"/>
    <n v="478.65"/>
    <s v="552 Main St"/>
    <s v="Online"/>
    <x v="0"/>
    <s v="TRK35241775"/>
    <n v="4"/>
    <s v="No COUPON"/>
    <s v="Referral"/>
    <n v="1435.95"/>
  </r>
  <r>
    <s v="ORD200070"/>
    <d v="2023-05-26T00:00:00"/>
    <s v="C25123"/>
    <x v="6"/>
    <n v="1"/>
    <n v="629.21"/>
    <s v="384 Main St"/>
    <s v="Gift Card"/>
    <x v="4"/>
    <s v="TRK27812282"/>
    <n v="2"/>
    <s v="FREESHIP"/>
    <s v="Instagram"/>
    <n v="629.21"/>
  </r>
  <r>
    <s v="ORD200071"/>
    <d v="2025-06-10T00:00:00"/>
    <s v="C37454"/>
    <x v="0"/>
    <n v="3"/>
    <n v="434.45"/>
    <s v="923 Main St"/>
    <s v="Credit Card"/>
    <x v="4"/>
    <s v="TRK28252730"/>
    <n v="4"/>
    <s v="No COUPON"/>
    <s v="Referral"/>
    <n v="1303.3499999999999"/>
  </r>
  <r>
    <s v="ORD200072"/>
    <d v="2024-12-22T00:00:00"/>
    <s v="C19451"/>
    <x v="2"/>
    <n v="4"/>
    <n v="589.44000000000005"/>
    <s v="942 Main St"/>
    <s v="Gift Card"/>
    <x v="2"/>
    <s v="TRK87787793"/>
    <n v="5"/>
    <s v="No COUPON"/>
    <s v="Facebook"/>
    <n v="2357.7600000000002"/>
  </r>
  <r>
    <s v="ORD200073"/>
    <d v="2023-05-03T00:00:00"/>
    <s v="C17269"/>
    <x v="0"/>
    <n v="4"/>
    <n v="433.45"/>
    <s v="129 Main St"/>
    <s v="Gift Card"/>
    <x v="1"/>
    <s v="TRK79608389"/>
    <n v="4"/>
    <s v="No COUPON"/>
    <s v="Facebook"/>
    <n v="1733.8"/>
  </r>
  <r>
    <s v="ORD200074"/>
    <d v="2023-06-24T00:00:00"/>
    <s v="C25382"/>
    <x v="1"/>
    <n v="5"/>
    <n v="90.87"/>
    <s v="622 Main St"/>
    <s v="Cash"/>
    <x v="4"/>
    <s v="TRK64691287"/>
    <n v="5"/>
    <s v="No COUPON"/>
    <s v="Instagram"/>
    <n v="454.35"/>
  </r>
  <r>
    <s v="ORD200075"/>
    <d v="2023-09-26T00:00:00"/>
    <s v="C80651"/>
    <x v="2"/>
    <n v="3"/>
    <n v="398.17"/>
    <s v="917 Main St"/>
    <s v="Debit Card"/>
    <x v="3"/>
    <s v="TRK14846720"/>
    <n v="5"/>
    <s v="SAVE10"/>
    <s v="Email"/>
    <n v="1194.51"/>
  </r>
  <r>
    <s v="ORD200076"/>
    <d v="2024-03-31T00:00:00"/>
    <s v="C58638"/>
    <x v="5"/>
    <n v="4"/>
    <n v="382.88"/>
    <s v="239 Main St"/>
    <s v="Cash"/>
    <x v="1"/>
    <s v="TRK38224871"/>
    <n v="6"/>
    <s v="WINTER15"/>
    <s v="Email"/>
    <n v="1531.52"/>
  </r>
  <r>
    <s v="ORD200077"/>
    <d v="2024-05-24T00:00:00"/>
    <s v="C50121"/>
    <x v="1"/>
    <n v="1"/>
    <n v="583.17999999999995"/>
    <s v="348 Main St"/>
    <s v="Credit Card"/>
    <x v="2"/>
    <s v="TRK79810059"/>
    <n v="5"/>
    <s v="No COUPON"/>
    <s v="Google"/>
    <n v="583.17999999999995"/>
  </r>
  <r>
    <s v="ORD200078"/>
    <d v="2024-08-06T00:00:00"/>
    <s v="C32029"/>
    <x v="4"/>
    <n v="4"/>
    <n v="175.36"/>
    <s v="146 Main St"/>
    <s v="Debit Card"/>
    <x v="3"/>
    <s v="TRK68535532"/>
    <n v="4"/>
    <s v="FREESHIP"/>
    <s v="Instagram"/>
    <n v="701.44"/>
  </r>
  <r>
    <s v="ORD200079"/>
    <d v="2025-03-10T00:00:00"/>
    <s v="C76700"/>
    <x v="2"/>
    <n v="2"/>
    <n v="311.91000000000003"/>
    <s v="103 Main St"/>
    <s v="Online"/>
    <x v="0"/>
    <s v="TRK13036341"/>
    <n v="2"/>
    <s v="No COUPON"/>
    <s v="Facebook"/>
    <n v="623.82000000000005"/>
  </r>
  <r>
    <s v="ORD200080"/>
    <d v="2023-06-27T00:00:00"/>
    <s v="C29041"/>
    <x v="1"/>
    <n v="3"/>
    <n v="589.55999999999995"/>
    <s v="591 Main St"/>
    <s v="Online"/>
    <x v="2"/>
    <s v="TRK28840655"/>
    <n v="6"/>
    <s v="No COUPON"/>
    <s v="Facebook"/>
    <n v="1768.68"/>
  </r>
  <r>
    <s v="ORD200081"/>
    <d v="2023-06-08T00:00:00"/>
    <s v="C29314"/>
    <x v="0"/>
    <n v="2"/>
    <n v="394.3"/>
    <s v="496 Main St"/>
    <s v="Cash"/>
    <x v="0"/>
    <s v="TRK59876213"/>
    <n v="6"/>
    <s v="FREESHIP"/>
    <s v="Email"/>
    <n v="788.6"/>
  </r>
  <r>
    <s v="ORD200082"/>
    <d v="2024-01-05T00:00:00"/>
    <s v="C65799"/>
    <x v="2"/>
    <n v="4"/>
    <n v="565.20000000000005"/>
    <s v="971 Main St"/>
    <s v="Debit Card"/>
    <x v="0"/>
    <s v="TRK66906607"/>
    <n v="9"/>
    <s v="SAVE10"/>
    <s v="Google"/>
    <n v="2260.8000000000002"/>
  </r>
  <r>
    <s v="ORD200083"/>
    <d v="2023-08-22T00:00:00"/>
    <s v="C15681"/>
    <x v="5"/>
    <n v="4"/>
    <n v="540.41"/>
    <s v="989 Main St"/>
    <s v="Credit Card"/>
    <x v="1"/>
    <s v="TRK75112172"/>
    <n v="6"/>
    <s v="No COUPON"/>
    <s v="Referral"/>
    <n v="2161.64"/>
  </r>
  <r>
    <s v="ORD200084"/>
    <d v="2023-08-28T00:00:00"/>
    <s v="C64160"/>
    <x v="0"/>
    <n v="2"/>
    <n v="165.49"/>
    <s v="967 Main St"/>
    <s v="Online"/>
    <x v="0"/>
    <s v="TRK34121529"/>
    <n v="4"/>
    <s v="WINTER15"/>
    <s v="Instagram"/>
    <n v="330.98"/>
  </r>
  <r>
    <s v="ORD200085"/>
    <d v="2024-09-09T00:00:00"/>
    <s v="C14553"/>
    <x v="2"/>
    <n v="3"/>
    <n v="146.72999999999999"/>
    <s v="768 Main St"/>
    <s v="Cash"/>
    <x v="3"/>
    <s v="TRK93538334"/>
    <n v="8"/>
    <s v="FREESHIP"/>
    <s v="Email"/>
    <n v="440.18999999999988"/>
  </r>
  <r>
    <s v="ORD200086"/>
    <d v="2024-06-19T00:00:00"/>
    <s v="C88205"/>
    <x v="4"/>
    <n v="5"/>
    <n v="643.03"/>
    <s v="447 Main St"/>
    <s v="Online"/>
    <x v="1"/>
    <s v="TRK93504166"/>
    <n v="5"/>
    <s v="FREESHIP"/>
    <s v="Referral"/>
    <n v="3215.15"/>
  </r>
  <r>
    <s v="ORD200087"/>
    <d v="2024-10-10T00:00:00"/>
    <s v="C91245"/>
    <x v="2"/>
    <n v="3"/>
    <n v="225.11"/>
    <s v="915 Main St"/>
    <s v="Cash"/>
    <x v="0"/>
    <s v="TRK46976391"/>
    <n v="4"/>
    <s v="SAVE10"/>
    <s v="Facebook"/>
    <n v="675.33"/>
  </r>
  <r>
    <s v="ORD200088"/>
    <d v="2025-06-05T00:00:00"/>
    <s v="C75439"/>
    <x v="6"/>
    <n v="3"/>
    <n v="114.81"/>
    <s v="318 Main St"/>
    <s v="Gift Card"/>
    <x v="1"/>
    <s v="TRK19831653"/>
    <n v="7"/>
    <s v="No COUPON"/>
    <s v="Google"/>
    <n v="344.43"/>
  </r>
  <r>
    <s v="ORD200089"/>
    <d v="2025-02-25T00:00:00"/>
    <s v="C17181"/>
    <x v="4"/>
    <n v="5"/>
    <n v="455.33"/>
    <s v="291 Main St"/>
    <s v="Credit Card"/>
    <x v="1"/>
    <s v="TRK78912978"/>
    <n v="8"/>
    <s v="FREESHIP"/>
    <s v="Google"/>
    <n v="2276.65"/>
  </r>
  <r>
    <s v="ORD200090"/>
    <d v="2023-09-18T00:00:00"/>
    <s v="C36540"/>
    <x v="3"/>
    <n v="4"/>
    <n v="182.08"/>
    <s v="611 Main St"/>
    <s v="Gift Card"/>
    <x v="3"/>
    <s v="TRK35828122"/>
    <n v="4"/>
    <s v="SAVE10"/>
    <s v="Email"/>
    <n v="728.32"/>
  </r>
  <r>
    <s v="ORD200091"/>
    <d v="2023-03-15T00:00:00"/>
    <s v="C98216"/>
    <x v="5"/>
    <n v="5"/>
    <n v="492.75"/>
    <s v="196 Main St"/>
    <s v="Cash"/>
    <x v="0"/>
    <s v="TRK40986666"/>
    <n v="6"/>
    <s v="WINTER15"/>
    <s v="Referral"/>
    <n v="2463.75"/>
  </r>
  <r>
    <s v="ORD200092"/>
    <d v="2024-06-10T00:00:00"/>
    <s v="C29568"/>
    <x v="4"/>
    <n v="4"/>
    <n v="48.61"/>
    <s v="203 Main St"/>
    <s v="Online"/>
    <x v="0"/>
    <s v="TRK46531075"/>
    <n v="7"/>
    <s v="FREESHIP"/>
    <s v="Facebook"/>
    <n v="194.44"/>
  </r>
  <r>
    <s v="ORD200093"/>
    <d v="2023-01-14T00:00:00"/>
    <s v="C97262"/>
    <x v="6"/>
    <n v="4"/>
    <n v="431.01"/>
    <s v="837 Main St"/>
    <s v="Credit Card"/>
    <x v="2"/>
    <s v="TRK65990229"/>
    <n v="7"/>
    <s v="No COUPON"/>
    <s v="Referral"/>
    <n v="1724.04"/>
  </r>
  <r>
    <s v="ORD200094"/>
    <d v="2023-02-11T00:00:00"/>
    <s v="C79821"/>
    <x v="3"/>
    <n v="1"/>
    <n v="531.17999999999995"/>
    <s v="781 Main St"/>
    <s v="Gift Card"/>
    <x v="2"/>
    <s v="TRK12780193"/>
    <n v="6"/>
    <s v="WINTER15"/>
    <s v="Instagram"/>
    <n v="531.17999999999995"/>
  </r>
  <r>
    <s v="ORD200095"/>
    <d v="2023-03-24T00:00:00"/>
    <s v="C76761"/>
    <x v="4"/>
    <n v="4"/>
    <n v="117.51"/>
    <s v="839 Main St"/>
    <s v="Debit Card"/>
    <x v="2"/>
    <s v="TRK60179774"/>
    <n v="7"/>
    <s v="No COUPON"/>
    <s v="Referral"/>
    <n v="470.04"/>
  </r>
  <r>
    <s v="ORD200096"/>
    <d v="2024-06-01T00:00:00"/>
    <s v="C93007"/>
    <x v="1"/>
    <n v="2"/>
    <n v="232.83"/>
    <s v="103 Main St"/>
    <s v="Gift Card"/>
    <x v="3"/>
    <s v="TRK85696091"/>
    <n v="7"/>
    <s v="No COUPON"/>
    <s v="Instagram"/>
    <n v="465.66"/>
  </r>
  <r>
    <s v="ORD200097"/>
    <d v="2025-01-21T00:00:00"/>
    <s v="C15624"/>
    <x v="2"/>
    <n v="5"/>
    <n v="619.52"/>
    <s v="922 Main St"/>
    <s v="Debit Card"/>
    <x v="4"/>
    <s v="TRK40621141"/>
    <n v="9"/>
    <s v="No COUPON"/>
    <s v="Email"/>
    <n v="3097.6"/>
  </r>
  <r>
    <s v="ORD200098"/>
    <d v="2023-01-14T00:00:00"/>
    <s v="C70921"/>
    <x v="4"/>
    <n v="2"/>
    <n v="228.54"/>
    <s v="533 Main St"/>
    <s v="Debit Card"/>
    <x v="4"/>
    <s v="TRK54983109"/>
    <n v="3"/>
    <s v="No COUPON"/>
    <s v="Email"/>
    <n v="457.08"/>
  </r>
  <r>
    <s v="ORD200099"/>
    <d v="2025-04-12T00:00:00"/>
    <s v="C30477"/>
    <x v="4"/>
    <n v="1"/>
    <n v="201.58"/>
    <s v="717 Main St"/>
    <s v="Debit Card"/>
    <x v="1"/>
    <s v="TRK51829648"/>
    <n v="2"/>
    <s v="WINTER15"/>
    <s v="Email"/>
    <n v="201.58"/>
  </r>
  <r>
    <s v="ORD200100"/>
    <d v="2023-02-17T00:00:00"/>
    <s v="C74866"/>
    <x v="1"/>
    <n v="3"/>
    <n v="664.79"/>
    <s v="743 Main St"/>
    <s v="Online"/>
    <x v="3"/>
    <s v="TRK53783265"/>
    <n v="6"/>
    <s v="No COUPON"/>
    <s v="Facebook"/>
    <n v="1994.37"/>
  </r>
  <r>
    <s v="ORD200101"/>
    <d v="2023-11-25T00:00:00"/>
    <s v="C15283"/>
    <x v="4"/>
    <n v="1"/>
    <n v="381.02"/>
    <s v="152 Main St"/>
    <s v="Cash"/>
    <x v="0"/>
    <s v="TRK19286291"/>
    <n v="6"/>
    <s v="No COUPON"/>
    <s v="Google"/>
    <n v="381.02"/>
  </r>
  <r>
    <s v="ORD200102"/>
    <d v="2023-03-08T00:00:00"/>
    <s v="C18037"/>
    <x v="5"/>
    <n v="2"/>
    <n v="70.34"/>
    <s v="944 Main St"/>
    <s v="Gift Card"/>
    <x v="1"/>
    <s v="TRK47362236"/>
    <n v="3"/>
    <s v="FREESHIP"/>
    <s v="Email"/>
    <n v="140.68"/>
  </r>
  <r>
    <s v="ORD200103"/>
    <d v="2025-01-25T00:00:00"/>
    <s v="C62656"/>
    <x v="1"/>
    <n v="4"/>
    <n v="218.43"/>
    <s v="514 Main St"/>
    <s v="Credit Card"/>
    <x v="1"/>
    <s v="TRK86296459"/>
    <n v="9"/>
    <s v="SAVE10"/>
    <s v="Email"/>
    <n v="873.72"/>
  </r>
  <r>
    <s v="ORD200104"/>
    <d v="2024-07-30T00:00:00"/>
    <s v="C65744"/>
    <x v="1"/>
    <n v="1"/>
    <n v="582.04"/>
    <s v="647 Main St"/>
    <s v="Gift Card"/>
    <x v="3"/>
    <s v="TRK39906058"/>
    <n v="1"/>
    <s v="FREESHIP"/>
    <s v="Email"/>
    <n v="582.04"/>
  </r>
  <r>
    <s v="ORD200105"/>
    <d v="2024-10-24T00:00:00"/>
    <s v="C72290"/>
    <x v="4"/>
    <n v="3"/>
    <n v="185.4"/>
    <s v="810 Main St"/>
    <s v="Gift Card"/>
    <x v="1"/>
    <s v="TRK68792129"/>
    <n v="7"/>
    <s v="No COUPON"/>
    <s v="Facebook"/>
    <n v="556.20000000000005"/>
  </r>
  <r>
    <s v="ORD200106"/>
    <d v="2023-09-08T00:00:00"/>
    <s v="C73514"/>
    <x v="6"/>
    <n v="3"/>
    <n v="465.05"/>
    <s v="126 Main St"/>
    <s v="Credit Card"/>
    <x v="1"/>
    <s v="TRK96777924"/>
    <n v="3"/>
    <s v="SAVE10"/>
    <s v="Email"/>
    <n v="1395.15"/>
  </r>
  <r>
    <s v="ORD200107"/>
    <d v="2023-03-27T00:00:00"/>
    <s v="C16775"/>
    <x v="4"/>
    <n v="5"/>
    <n v="670.75"/>
    <s v="848 Main St"/>
    <s v="Gift Card"/>
    <x v="0"/>
    <s v="TRK34392124"/>
    <n v="8"/>
    <s v="FREESHIP"/>
    <s v="Instagram"/>
    <n v="3353.75"/>
  </r>
  <r>
    <s v="ORD200108"/>
    <d v="2024-12-28T00:00:00"/>
    <s v="C33099"/>
    <x v="5"/>
    <n v="5"/>
    <n v="48.38"/>
    <s v="522 Main St"/>
    <s v="Gift Card"/>
    <x v="3"/>
    <s v="TRK28522330"/>
    <n v="9"/>
    <s v="WINTER15"/>
    <s v="Email"/>
    <n v="241.9"/>
  </r>
  <r>
    <s v="ORD200109"/>
    <d v="2023-09-17T00:00:00"/>
    <s v="C51157"/>
    <x v="6"/>
    <n v="3"/>
    <n v="592.87"/>
    <s v="131 Main St"/>
    <s v="Gift Card"/>
    <x v="0"/>
    <s v="TRK18674578"/>
    <n v="3"/>
    <s v="FREESHIP"/>
    <s v="Referral"/>
    <n v="1778.61"/>
  </r>
  <r>
    <s v="ORD200110"/>
    <d v="2024-04-21T00:00:00"/>
    <s v="C74562"/>
    <x v="2"/>
    <n v="1"/>
    <n v="220.77"/>
    <s v="388 Main St"/>
    <s v="Gift Card"/>
    <x v="4"/>
    <s v="TRK32062079"/>
    <n v="5"/>
    <s v="FREESHIP"/>
    <s v="Instagram"/>
    <n v="220.77"/>
  </r>
  <r>
    <s v="ORD200111"/>
    <d v="2025-05-07T00:00:00"/>
    <s v="C95271"/>
    <x v="6"/>
    <n v="3"/>
    <n v="309.22000000000003"/>
    <s v="620 Main St"/>
    <s v="Online"/>
    <x v="1"/>
    <s v="TRK74904969"/>
    <n v="7"/>
    <s v="FREESHIP"/>
    <s v="Google"/>
    <n v="927.66000000000008"/>
  </r>
  <r>
    <s v="ORD200112"/>
    <d v="2023-01-01T00:00:00"/>
    <s v="C81366"/>
    <x v="0"/>
    <n v="1"/>
    <n v="410.6"/>
    <s v="423 Main St"/>
    <s v="Online"/>
    <x v="1"/>
    <s v="TRK17062206"/>
    <n v="2"/>
    <s v="WINTER15"/>
    <s v="Referral"/>
    <n v="410.6"/>
  </r>
  <r>
    <s v="ORD200113"/>
    <d v="2024-01-17T00:00:00"/>
    <s v="C65905"/>
    <x v="5"/>
    <n v="5"/>
    <n v="190.08"/>
    <s v="605 Main St"/>
    <s v="Cash"/>
    <x v="0"/>
    <s v="TRK73954365"/>
    <n v="9"/>
    <s v="FREESHIP"/>
    <s v="Instagram"/>
    <n v="950.40000000000009"/>
  </r>
  <r>
    <s v="ORD200114"/>
    <d v="2025-01-27T00:00:00"/>
    <s v="C77272"/>
    <x v="0"/>
    <n v="5"/>
    <n v="498.48"/>
    <s v="115 Main St"/>
    <s v="Online"/>
    <x v="4"/>
    <s v="TRK29708128"/>
    <n v="8"/>
    <s v="SAVE10"/>
    <s v="Google"/>
    <n v="2492.4"/>
  </r>
  <r>
    <s v="ORD200115"/>
    <d v="2023-11-27T00:00:00"/>
    <s v="C32580"/>
    <x v="1"/>
    <n v="5"/>
    <n v="374.99"/>
    <s v="122 Main St"/>
    <s v="Online"/>
    <x v="0"/>
    <s v="TRK23670394"/>
    <n v="9"/>
    <s v="SAVE10"/>
    <s v="Facebook"/>
    <n v="1874.95"/>
  </r>
  <r>
    <s v="ORD200116"/>
    <d v="2023-03-19T00:00:00"/>
    <s v="C47761"/>
    <x v="4"/>
    <n v="4"/>
    <n v="291.35000000000002"/>
    <s v="109 Main St"/>
    <s v="Credit Card"/>
    <x v="1"/>
    <s v="TRK66669207"/>
    <n v="6"/>
    <s v="WINTER15"/>
    <s v="Facebook"/>
    <n v="1165.4000000000001"/>
  </r>
  <r>
    <s v="ORD200117"/>
    <d v="2023-03-08T00:00:00"/>
    <s v="C49187"/>
    <x v="2"/>
    <n v="1"/>
    <n v="535.5"/>
    <s v="593 Main St"/>
    <s v="Gift Card"/>
    <x v="1"/>
    <s v="TRK81888598"/>
    <n v="5"/>
    <s v="WINTER15"/>
    <s v="Referral"/>
    <n v="535.5"/>
  </r>
  <r>
    <s v="ORD200118"/>
    <d v="2023-10-09T00:00:00"/>
    <s v="C27898"/>
    <x v="4"/>
    <n v="5"/>
    <n v="502.71"/>
    <s v="807 Main St"/>
    <s v="Gift Card"/>
    <x v="0"/>
    <s v="TRK61957665"/>
    <n v="7"/>
    <s v="FREESHIP"/>
    <s v="Google"/>
    <n v="2513.5500000000002"/>
  </r>
  <r>
    <s v="ORD200119"/>
    <d v="2025-06-11T00:00:00"/>
    <s v="C14683"/>
    <x v="6"/>
    <n v="2"/>
    <n v="534.66999999999996"/>
    <s v="187 Main St"/>
    <s v="Debit Card"/>
    <x v="0"/>
    <s v="TRK47373682"/>
    <n v="7"/>
    <s v="FREESHIP"/>
    <s v="Referral"/>
    <n v="1069.3399999999999"/>
  </r>
  <r>
    <s v="ORD200120"/>
    <d v="2023-04-11T00:00:00"/>
    <s v="C58108"/>
    <x v="2"/>
    <n v="4"/>
    <n v="629.34"/>
    <s v="986 Main St"/>
    <s v="Cash"/>
    <x v="1"/>
    <s v="TRK66218053"/>
    <n v="4"/>
    <s v="WINTER15"/>
    <s v="Instagram"/>
    <n v="2517.36"/>
  </r>
  <r>
    <s v="ORD200121"/>
    <d v="2023-11-30T00:00:00"/>
    <s v="C89822"/>
    <x v="6"/>
    <n v="1"/>
    <n v="410.78"/>
    <s v="673 Main St"/>
    <s v="Cash"/>
    <x v="1"/>
    <s v="TRK24138598"/>
    <n v="1"/>
    <s v="FREESHIP"/>
    <s v="Instagram"/>
    <n v="410.78"/>
  </r>
  <r>
    <s v="ORD200122"/>
    <d v="2024-04-15T00:00:00"/>
    <s v="C96787"/>
    <x v="5"/>
    <n v="2"/>
    <n v="533.02"/>
    <s v="588 Main St"/>
    <s v="Gift Card"/>
    <x v="0"/>
    <s v="TRK30422853"/>
    <n v="2"/>
    <s v="No COUPON"/>
    <s v="Facebook"/>
    <n v="1066.04"/>
  </r>
  <r>
    <s v="ORD200123"/>
    <d v="2023-07-06T00:00:00"/>
    <s v="C86064"/>
    <x v="6"/>
    <n v="3"/>
    <n v="278.04000000000002"/>
    <s v="727 Main St"/>
    <s v="Online"/>
    <x v="3"/>
    <s v="TRK62182901"/>
    <n v="5"/>
    <s v="No COUPON"/>
    <s v="Instagram"/>
    <n v="834.12000000000012"/>
  </r>
  <r>
    <s v="ORD200124"/>
    <d v="2024-07-28T00:00:00"/>
    <s v="C97148"/>
    <x v="4"/>
    <n v="4"/>
    <n v="283.79000000000002"/>
    <s v="563 Main St"/>
    <s v="Online"/>
    <x v="4"/>
    <s v="TRK85321126"/>
    <n v="8"/>
    <s v="No COUPON"/>
    <s v="Google"/>
    <n v="1135.1600000000001"/>
  </r>
  <r>
    <s v="ORD200125"/>
    <d v="2024-11-06T00:00:00"/>
    <s v="C91099"/>
    <x v="1"/>
    <n v="2"/>
    <n v="512.65"/>
    <s v="758 Main St"/>
    <s v="Credit Card"/>
    <x v="0"/>
    <s v="TRK81846174"/>
    <n v="5"/>
    <s v="SAVE10"/>
    <s v="Email"/>
    <n v="1025.3"/>
  </r>
  <r>
    <s v="ORD200126"/>
    <d v="2025-05-03T00:00:00"/>
    <s v="C55606"/>
    <x v="6"/>
    <n v="4"/>
    <n v="275.5"/>
    <s v="353 Main St"/>
    <s v="Gift Card"/>
    <x v="0"/>
    <s v="TRK68250319"/>
    <n v="8"/>
    <s v="FREESHIP"/>
    <s v="Google"/>
    <n v="1102"/>
  </r>
  <r>
    <s v="ORD200127"/>
    <d v="2023-08-10T00:00:00"/>
    <s v="C71486"/>
    <x v="6"/>
    <n v="3"/>
    <n v="469.32"/>
    <s v="365 Main St"/>
    <s v="Debit Card"/>
    <x v="0"/>
    <s v="TRK73929833"/>
    <n v="3"/>
    <s v="No COUPON"/>
    <s v="Google"/>
    <n v="1407.96"/>
  </r>
  <r>
    <s v="ORD200128"/>
    <d v="2023-02-17T00:00:00"/>
    <s v="C86408"/>
    <x v="2"/>
    <n v="4"/>
    <n v="21.07"/>
    <s v="244 Main St"/>
    <s v="Gift Card"/>
    <x v="3"/>
    <s v="TRK41432648"/>
    <n v="4"/>
    <s v="FREESHIP"/>
    <s v="Google"/>
    <n v="84.28"/>
  </r>
  <r>
    <s v="ORD200129"/>
    <d v="2023-10-27T00:00:00"/>
    <s v="C52751"/>
    <x v="5"/>
    <n v="4"/>
    <n v="263.93"/>
    <s v="427 Main St"/>
    <s v="Debit Card"/>
    <x v="0"/>
    <s v="TRK72481234"/>
    <n v="4"/>
    <s v="FREESHIP"/>
    <s v="Facebook"/>
    <n v="1055.72"/>
  </r>
  <r>
    <s v="ORD200130"/>
    <d v="2025-01-22T00:00:00"/>
    <s v="C29059"/>
    <x v="6"/>
    <n v="3"/>
    <n v="501.3"/>
    <s v="513 Main St"/>
    <s v="Online"/>
    <x v="1"/>
    <s v="TRK88360704"/>
    <n v="3"/>
    <s v="WINTER15"/>
    <s v="Facebook"/>
    <n v="1503.9"/>
  </r>
  <r>
    <s v="ORD200131"/>
    <d v="2023-01-08T00:00:00"/>
    <s v="C72862"/>
    <x v="2"/>
    <n v="1"/>
    <n v="84.8"/>
    <s v="606 Main St"/>
    <s v="Gift Card"/>
    <x v="4"/>
    <s v="TRK51648833"/>
    <n v="5"/>
    <s v="No COUPON"/>
    <s v="Instagram"/>
    <n v="84.8"/>
  </r>
  <r>
    <s v="ORD200132"/>
    <d v="2023-03-28T00:00:00"/>
    <s v="C96257"/>
    <x v="2"/>
    <n v="4"/>
    <n v="450.75"/>
    <s v="583 Main St"/>
    <s v="Credit Card"/>
    <x v="0"/>
    <s v="TRK13137948"/>
    <n v="6"/>
    <s v="WINTER15"/>
    <s v="Email"/>
    <n v="1803"/>
  </r>
  <r>
    <s v="ORD200133"/>
    <d v="2025-06-20T00:00:00"/>
    <s v="C87432"/>
    <x v="3"/>
    <n v="4"/>
    <n v="302.05"/>
    <s v="636 Main St"/>
    <s v="Debit Card"/>
    <x v="1"/>
    <s v="TRK68969625"/>
    <n v="6"/>
    <s v="SAVE10"/>
    <s v="Google"/>
    <n v="1208.2"/>
  </r>
  <r>
    <s v="ORD200134"/>
    <d v="2025-06-23T00:00:00"/>
    <s v="C16253"/>
    <x v="5"/>
    <n v="2"/>
    <n v="199.7"/>
    <s v="583 Main St"/>
    <s v="Cash"/>
    <x v="4"/>
    <s v="TRK17354894"/>
    <n v="4"/>
    <s v="No COUPON"/>
    <s v="Email"/>
    <n v="399.4"/>
  </r>
  <r>
    <s v="ORD200135"/>
    <d v="2023-08-04T00:00:00"/>
    <s v="C79909"/>
    <x v="4"/>
    <n v="2"/>
    <n v="68.81"/>
    <s v="642 Main St"/>
    <s v="Gift Card"/>
    <x v="0"/>
    <s v="TRK86742257"/>
    <n v="5"/>
    <s v="SAVE10"/>
    <s v="Referral"/>
    <n v="137.62"/>
  </r>
  <r>
    <s v="ORD200136"/>
    <d v="2024-04-27T00:00:00"/>
    <s v="C73370"/>
    <x v="5"/>
    <n v="1"/>
    <n v="44.35"/>
    <s v="595 Main St"/>
    <s v="Gift Card"/>
    <x v="1"/>
    <s v="TRK67820278"/>
    <n v="1"/>
    <s v="SAVE10"/>
    <s v="Instagram"/>
    <n v="44.35"/>
  </r>
  <r>
    <s v="ORD200137"/>
    <d v="2024-11-26T00:00:00"/>
    <s v="C50682"/>
    <x v="0"/>
    <n v="2"/>
    <n v="250.98"/>
    <s v="598 Main St"/>
    <s v="Credit Card"/>
    <x v="3"/>
    <s v="TRK12242337"/>
    <n v="5"/>
    <s v="No COUPON"/>
    <s v="Google"/>
    <n v="501.96"/>
  </r>
  <r>
    <s v="ORD200138"/>
    <d v="2023-12-21T00:00:00"/>
    <s v="C21905"/>
    <x v="2"/>
    <n v="1"/>
    <n v="298.06"/>
    <s v="478 Main St"/>
    <s v="Debit Card"/>
    <x v="4"/>
    <s v="TRK31863841"/>
    <n v="3"/>
    <s v="WINTER15"/>
    <s v="Google"/>
    <n v="298.06"/>
  </r>
  <r>
    <s v="ORD200139"/>
    <d v="2023-04-10T00:00:00"/>
    <s v="C61440"/>
    <x v="1"/>
    <n v="1"/>
    <n v="583.9"/>
    <s v="714 Main St"/>
    <s v="Cash"/>
    <x v="2"/>
    <s v="TRK33114521"/>
    <n v="1"/>
    <s v="No COUPON"/>
    <s v="Email"/>
    <n v="583.9"/>
  </r>
  <r>
    <s v="ORD200140"/>
    <d v="2025-05-31T00:00:00"/>
    <s v="C33110"/>
    <x v="3"/>
    <n v="3"/>
    <n v="528.14"/>
    <s v="388 Main St"/>
    <s v="Online"/>
    <x v="3"/>
    <s v="TRK38624225"/>
    <n v="3"/>
    <s v="FREESHIP"/>
    <s v="Email"/>
    <n v="1584.42"/>
  </r>
  <r>
    <s v="ORD200141"/>
    <d v="2023-11-18T00:00:00"/>
    <s v="C80004"/>
    <x v="4"/>
    <n v="3"/>
    <n v="684.14"/>
    <s v="151 Main St"/>
    <s v="Cash"/>
    <x v="1"/>
    <s v="TRK66230753"/>
    <n v="3"/>
    <s v="WINTER15"/>
    <s v="Instagram"/>
    <n v="2052.42"/>
  </r>
  <r>
    <s v="ORD200142"/>
    <d v="2023-09-06T00:00:00"/>
    <s v="C86374"/>
    <x v="6"/>
    <n v="5"/>
    <n v="272.77"/>
    <s v="573 Main St"/>
    <s v="Cash"/>
    <x v="4"/>
    <s v="TRK79451491"/>
    <n v="7"/>
    <s v="WINTER15"/>
    <s v="Email"/>
    <n v="1363.85"/>
  </r>
  <r>
    <s v="ORD200143"/>
    <d v="2024-06-13T00:00:00"/>
    <s v="C66521"/>
    <x v="3"/>
    <n v="4"/>
    <n v="400.07"/>
    <s v="933 Main St"/>
    <s v="Online"/>
    <x v="0"/>
    <s v="TRK34654244"/>
    <n v="5"/>
    <s v="No COUPON"/>
    <s v="Referral"/>
    <n v="1600.28"/>
  </r>
  <r>
    <s v="ORD200144"/>
    <d v="2023-08-04T00:00:00"/>
    <s v="C63365"/>
    <x v="6"/>
    <n v="5"/>
    <n v="219.78"/>
    <s v="895 Main St"/>
    <s v="Credit Card"/>
    <x v="4"/>
    <s v="TRK80100887"/>
    <n v="8"/>
    <s v="No COUPON"/>
    <s v="Facebook"/>
    <n v="1098.9000000000001"/>
  </r>
  <r>
    <s v="ORD200145"/>
    <d v="2024-03-02T00:00:00"/>
    <s v="C85929"/>
    <x v="4"/>
    <n v="3"/>
    <n v="146.91"/>
    <s v="798 Main St"/>
    <s v="Credit Card"/>
    <x v="3"/>
    <s v="TRK29318610"/>
    <n v="6"/>
    <s v="FREESHIP"/>
    <s v="Google"/>
    <n v="440.73"/>
  </r>
  <r>
    <s v="ORD200146"/>
    <d v="2025-04-30T00:00:00"/>
    <s v="C84645"/>
    <x v="2"/>
    <n v="2"/>
    <n v="411.49"/>
    <s v="404 Main St"/>
    <s v="Credit Card"/>
    <x v="2"/>
    <s v="TRK68893369"/>
    <n v="4"/>
    <s v="No COUPON"/>
    <s v="Instagram"/>
    <n v="822.98"/>
  </r>
  <r>
    <s v="ORD200147"/>
    <d v="2025-05-06T00:00:00"/>
    <s v="C46316"/>
    <x v="5"/>
    <n v="2"/>
    <n v="465.18"/>
    <s v="893 Main St"/>
    <s v="Credit Card"/>
    <x v="1"/>
    <s v="TRK16196000"/>
    <n v="2"/>
    <s v="SAVE10"/>
    <s v="Google"/>
    <n v="930.36"/>
  </r>
  <r>
    <s v="ORD200148"/>
    <d v="2024-12-15T00:00:00"/>
    <s v="C35100"/>
    <x v="1"/>
    <n v="2"/>
    <n v="319.91000000000003"/>
    <s v="139 Main St"/>
    <s v="Credit Card"/>
    <x v="1"/>
    <s v="TRK56853491"/>
    <n v="3"/>
    <s v="WINTER15"/>
    <s v="Google"/>
    <n v="639.82000000000005"/>
  </r>
  <r>
    <s v="ORD200149"/>
    <d v="2023-12-27T00:00:00"/>
    <s v="C39671"/>
    <x v="5"/>
    <n v="1"/>
    <n v="217.56"/>
    <s v="174 Main St"/>
    <s v="Debit Card"/>
    <x v="3"/>
    <s v="TRK47153818"/>
    <n v="3"/>
    <s v="No COUPON"/>
    <s v="Facebook"/>
    <n v="217.56"/>
  </r>
  <r>
    <s v="ORD200150"/>
    <d v="2023-12-13T00:00:00"/>
    <s v="C25503"/>
    <x v="1"/>
    <n v="2"/>
    <n v="105.57"/>
    <s v="981 Main St"/>
    <s v="Debit Card"/>
    <x v="2"/>
    <s v="TRK29878837"/>
    <n v="5"/>
    <s v="WINTER15"/>
    <s v="Google"/>
    <n v="211.14"/>
  </r>
  <r>
    <s v="ORD200151"/>
    <d v="2023-12-01T00:00:00"/>
    <s v="C32960"/>
    <x v="4"/>
    <n v="5"/>
    <n v="444.76"/>
    <s v="947 Main St"/>
    <s v="Debit Card"/>
    <x v="2"/>
    <s v="TRK91226500"/>
    <n v="7"/>
    <s v="No COUPON"/>
    <s v="Email"/>
    <n v="2223.8000000000002"/>
  </r>
  <r>
    <s v="ORD200152"/>
    <d v="2025-01-02T00:00:00"/>
    <s v="C77736"/>
    <x v="3"/>
    <n v="2"/>
    <n v="399.04"/>
    <s v="659 Main St"/>
    <s v="Cash"/>
    <x v="1"/>
    <s v="TRK90329250"/>
    <n v="3"/>
    <s v="FREESHIP"/>
    <s v="Referral"/>
    <n v="798.08"/>
  </r>
  <r>
    <s v="ORD200153"/>
    <d v="2024-12-18T00:00:00"/>
    <s v="C71570"/>
    <x v="3"/>
    <n v="4"/>
    <n v="534.48"/>
    <s v="437 Main St"/>
    <s v="Online"/>
    <x v="2"/>
    <s v="TRK95992269"/>
    <n v="9"/>
    <s v="WINTER15"/>
    <s v="Instagram"/>
    <n v="2137.92"/>
  </r>
  <r>
    <s v="ORD200154"/>
    <d v="2023-07-20T00:00:00"/>
    <s v="C73587"/>
    <x v="1"/>
    <n v="4"/>
    <n v="408.21"/>
    <s v="727 Main St"/>
    <s v="Credit Card"/>
    <x v="4"/>
    <s v="TRK13955543"/>
    <n v="9"/>
    <s v="No COUPON"/>
    <s v="Instagram"/>
    <n v="1632.84"/>
  </r>
  <r>
    <s v="ORD200155"/>
    <d v="2023-02-27T00:00:00"/>
    <s v="C62740"/>
    <x v="1"/>
    <n v="1"/>
    <n v="424.4"/>
    <s v="446 Main St"/>
    <s v="Online"/>
    <x v="0"/>
    <s v="TRK20706408"/>
    <n v="6"/>
    <s v="WINTER15"/>
    <s v="Referral"/>
    <n v="424.4"/>
  </r>
  <r>
    <s v="ORD200156"/>
    <d v="2024-11-08T00:00:00"/>
    <s v="C58808"/>
    <x v="3"/>
    <n v="2"/>
    <n v="269.83"/>
    <s v="651 Main St"/>
    <s v="Online"/>
    <x v="3"/>
    <s v="TRK24451893"/>
    <n v="4"/>
    <s v="SAVE10"/>
    <s v="Email"/>
    <n v="539.66"/>
  </r>
  <r>
    <s v="ORD200157"/>
    <d v="2025-02-21T00:00:00"/>
    <s v="C50422"/>
    <x v="0"/>
    <n v="2"/>
    <n v="564.58000000000004"/>
    <s v="636 Main St"/>
    <s v="Online"/>
    <x v="2"/>
    <s v="TRK71227815"/>
    <n v="4"/>
    <s v="WINTER15"/>
    <s v="Facebook"/>
    <n v="1129.1600000000001"/>
  </r>
  <r>
    <s v="ORD200158"/>
    <d v="2024-05-16T00:00:00"/>
    <s v="C23334"/>
    <x v="2"/>
    <n v="1"/>
    <n v="331.06"/>
    <s v="737 Main St"/>
    <s v="Credit Card"/>
    <x v="4"/>
    <s v="TRK46335144"/>
    <n v="5"/>
    <s v="WINTER15"/>
    <s v="Instagram"/>
    <n v="331.06"/>
  </r>
  <r>
    <s v="ORD200159"/>
    <d v="2023-10-31T00:00:00"/>
    <s v="C48965"/>
    <x v="4"/>
    <n v="1"/>
    <n v="299.35000000000002"/>
    <s v="819 Main St"/>
    <s v="Credit Card"/>
    <x v="1"/>
    <s v="TRK50921780"/>
    <n v="5"/>
    <s v="WINTER15"/>
    <s v="Email"/>
    <n v="299.35000000000002"/>
  </r>
  <r>
    <s v="ORD200160"/>
    <d v="2023-02-17T00:00:00"/>
    <s v="C38669"/>
    <x v="0"/>
    <n v="4"/>
    <n v="101.32"/>
    <s v="240 Main St"/>
    <s v="Cash"/>
    <x v="4"/>
    <s v="TRK81738254"/>
    <n v="7"/>
    <s v="No COUPON"/>
    <s v="Referral"/>
    <n v="405.28"/>
  </r>
  <r>
    <s v="ORD200161"/>
    <d v="2024-03-29T00:00:00"/>
    <s v="C35091"/>
    <x v="0"/>
    <n v="1"/>
    <n v="211.14"/>
    <s v="513 Main St"/>
    <s v="Credit Card"/>
    <x v="1"/>
    <s v="TRK53784452"/>
    <n v="1"/>
    <s v="SAVE10"/>
    <s v="Facebook"/>
    <n v="211.14"/>
  </r>
  <r>
    <s v="ORD200162"/>
    <d v="2023-07-27T00:00:00"/>
    <s v="C82313"/>
    <x v="3"/>
    <n v="3"/>
    <n v="65.86"/>
    <s v="917 Main St"/>
    <s v="Online"/>
    <x v="4"/>
    <s v="TRK79854624"/>
    <n v="8"/>
    <s v="WINTER15"/>
    <s v="Google"/>
    <n v="197.58"/>
  </r>
  <r>
    <s v="ORD200163"/>
    <d v="2025-06-24T00:00:00"/>
    <s v="C99589"/>
    <x v="2"/>
    <n v="1"/>
    <n v="641.39"/>
    <s v="277 Main St"/>
    <s v="Online"/>
    <x v="1"/>
    <s v="TRK16695001"/>
    <n v="1"/>
    <s v="No COUPON"/>
    <s v="Referral"/>
    <n v="641.39"/>
  </r>
  <r>
    <s v="ORD200164"/>
    <d v="2023-12-28T00:00:00"/>
    <s v="C70566"/>
    <x v="6"/>
    <n v="5"/>
    <n v="536.58000000000004"/>
    <s v="667 Main St"/>
    <s v="Gift Card"/>
    <x v="4"/>
    <s v="TRK49673411"/>
    <n v="5"/>
    <s v="SAVE10"/>
    <s v="Google"/>
    <n v="2682.9"/>
  </r>
  <r>
    <s v="ORD200165"/>
    <d v="2024-09-14T00:00:00"/>
    <s v="C60355"/>
    <x v="0"/>
    <n v="2"/>
    <n v="500.29"/>
    <s v="226 Main St"/>
    <s v="Online"/>
    <x v="2"/>
    <s v="TRK30155194"/>
    <n v="7"/>
    <s v="WINTER15"/>
    <s v="Google"/>
    <n v="1000.58"/>
  </r>
  <r>
    <s v="ORD200166"/>
    <d v="2025-03-04T00:00:00"/>
    <s v="C28889"/>
    <x v="3"/>
    <n v="3"/>
    <n v="86.29"/>
    <s v="565 Main St"/>
    <s v="Cash"/>
    <x v="3"/>
    <s v="TRK23791726"/>
    <n v="6"/>
    <s v="WINTER15"/>
    <s v="Instagram"/>
    <n v="258.87"/>
  </r>
  <r>
    <s v="ORD200167"/>
    <d v="2023-05-27T00:00:00"/>
    <s v="C88304"/>
    <x v="3"/>
    <n v="2"/>
    <n v="384.14"/>
    <s v="219 Main St"/>
    <s v="Online"/>
    <x v="2"/>
    <s v="TRK44268941"/>
    <n v="2"/>
    <s v="WINTER15"/>
    <s v="Email"/>
    <n v="768.28"/>
  </r>
  <r>
    <s v="ORD200168"/>
    <d v="2025-01-04T00:00:00"/>
    <s v="C49517"/>
    <x v="4"/>
    <n v="1"/>
    <n v="594.96"/>
    <s v="878 Main St"/>
    <s v="Cash"/>
    <x v="2"/>
    <s v="TRK78551375"/>
    <n v="6"/>
    <s v="No COUPON"/>
    <s v="Facebook"/>
    <n v="594.96"/>
  </r>
  <r>
    <s v="ORD200169"/>
    <d v="2024-04-07T00:00:00"/>
    <s v="C35785"/>
    <x v="4"/>
    <n v="1"/>
    <n v="427.82"/>
    <s v="732 Main St"/>
    <s v="Online"/>
    <x v="3"/>
    <s v="TRK78923089"/>
    <n v="2"/>
    <s v="WINTER15"/>
    <s v="Email"/>
    <n v="427.82"/>
  </r>
  <r>
    <s v="ORD200170"/>
    <d v="2025-04-04T00:00:00"/>
    <s v="C80223"/>
    <x v="6"/>
    <n v="4"/>
    <n v="662.94"/>
    <s v="535 Main St"/>
    <s v="Cash"/>
    <x v="1"/>
    <s v="TRK68632951"/>
    <n v="8"/>
    <s v="SAVE10"/>
    <s v="Instagram"/>
    <n v="2651.76"/>
  </r>
  <r>
    <s v="ORD200171"/>
    <d v="2023-08-15T00:00:00"/>
    <s v="C20448"/>
    <x v="2"/>
    <n v="2"/>
    <n v="148.22"/>
    <s v="336 Main St"/>
    <s v="Credit Card"/>
    <x v="3"/>
    <s v="TRK67379895"/>
    <n v="7"/>
    <s v="WINTER15"/>
    <s v="Instagram"/>
    <n v="296.44"/>
  </r>
  <r>
    <s v="ORD200172"/>
    <d v="2025-04-06T00:00:00"/>
    <s v="C34134"/>
    <x v="4"/>
    <n v="1"/>
    <n v="254.12"/>
    <s v="365 Main St"/>
    <s v="Online"/>
    <x v="3"/>
    <s v="TRK43074303"/>
    <n v="1"/>
    <s v="WINTER15"/>
    <s v="Email"/>
    <n v="254.12"/>
  </r>
  <r>
    <s v="ORD200173"/>
    <d v="2024-03-24T00:00:00"/>
    <s v="C95901"/>
    <x v="1"/>
    <n v="3"/>
    <n v="664.46"/>
    <s v="806 Main St"/>
    <s v="Online"/>
    <x v="3"/>
    <s v="TRK56989066"/>
    <n v="4"/>
    <s v="FREESHIP"/>
    <s v="Google"/>
    <n v="1993.38"/>
  </r>
  <r>
    <s v="ORD200174"/>
    <d v="2024-04-16T00:00:00"/>
    <s v="C51145"/>
    <x v="4"/>
    <n v="4"/>
    <n v="600.80999999999995"/>
    <s v="790 Main St"/>
    <s v="Debit Card"/>
    <x v="3"/>
    <s v="TRK59154274"/>
    <n v="9"/>
    <s v="SAVE10"/>
    <s v="Email"/>
    <n v="2403.2399999999998"/>
  </r>
  <r>
    <s v="ORD200175"/>
    <d v="2025-02-08T00:00:00"/>
    <s v="C78170"/>
    <x v="3"/>
    <n v="5"/>
    <n v="68.34"/>
    <s v="332 Main St"/>
    <s v="Debit Card"/>
    <x v="4"/>
    <s v="TRK71410605"/>
    <n v="6"/>
    <s v="WINTER15"/>
    <s v="Referral"/>
    <n v="341.7"/>
  </r>
  <r>
    <s v="ORD200176"/>
    <d v="2025-06-28T00:00:00"/>
    <s v="C80151"/>
    <x v="2"/>
    <n v="4"/>
    <n v="430.83"/>
    <s v="553 Main St"/>
    <s v="Gift Card"/>
    <x v="4"/>
    <s v="TRK88251529"/>
    <n v="8"/>
    <s v="WINTER15"/>
    <s v="Referral"/>
    <n v="1723.32"/>
  </r>
  <r>
    <s v="ORD200177"/>
    <d v="2023-08-05T00:00:00"/>
    <s v="C55632"/>
    <x v="3"/>
    <n v="5"/>
    <n v="431.69"/>
    <s v="354 Main St"/>
    <s v="Credit Card"/>
    <x v="4"/>
    <s v="TRK13003066"/>
    <n v="10"/>
    <s v="No COUPON"/>
    <s v="Facebook"/>
    <n v="2158.4499999999998"/>
  </r>
  <r>
    <s v="ORD200178"/>
    <d v="2024-04-11T00:00:00"/>
    <s v="C53070"/>
    <x v="3"/>
    <n v="4"/>
    <n v="512.05999999999995"/>
    <s v="283 Main St"/>
    <s v="Online"/>
    <x v="3"/>
    <s v="TRK49791755"/>
    <n v="5"/>
    <s v="SAVE10"/>
    <s v="Google"/>
    <n v="2048.2399999999998"/>
  </r>
  <r>
    <s v="ORD200179"/>
    <d v="2024-11-24T00:00:00"/>
    <s v="C27401"/>
    <x v="5"/>
    <n v="3"/>
    <n v="539.91"/>
    <s v="500 Main St"/>
    <s v="Credit Card"/>
    <x v="3"/>
    <s v="TRK14332053"/>
    <n v="8"/>
    <s v="No COUPON"/>
    <s v="Email"/>
    <n v="1619.73"/>
  </r>
  <r>
    <s v="ORD200180"/>
    <d v="2023-03-18T00:00:00"/>
    <s v="C87216"/>
    <x v="2"/>
    <n v="5"/>
    <n v="316.07"/>
    <s v="970 Main St"/>
    <s v="Cash"/>
    <x v="2"/>
    <s v="TRK18713727"/>
    <n v="10"/>
    <s v="No COUPON"/>
    <s v="Google"/>
    <n v="1580.35"/>
  </r>
  <r>
    <s v="ORD200181"/>
    <d v="2024-08-31T00:00:00"/>
    <s v="C38966"/>
    <x v="4"/>
    <n v="5"/>
    <n v="404.39"/>
    <s v="247 Main St"/>
    <s v="Online"/>
    <x v="0"/>
    <s v="TRK17205146"/>
    <n v="10"/>
    <s v="No COUPON"/>
    <s v="Referral"/>
    <n v="2021.95"/>
  </r>
  <r>
    <s v="ORD200182"/>
    <d v="2025-03-19T00:00:00"/>
    <s v="C16612"/>
    <x v="6"/>
    <n v="1"/>
    <n v="600.54"/>
    <s v="596 Main St"/>
    <s v="Debit Card"/>
    <x v="4"/>
    <s v="TRK96188223"/>
    <n v="4"/>
    <s v="WINTER15"/>
    <s v="Google"/>
    <n v="600.54"/>
  </r>
  <r>
    <s v="ORD200183"/>
    <d v="2024-04-18T00:00:00"/>
    <s v="C39246"/>
    <x v="0"/>
    <n v="5"/>
    <n v="186.28"/>
    <s v="258 Main St"/>
    <s v="Debit Card"/>
    <x v="3"/>
    <s v="TRK16658182"/>
    <n v="8"/>
    <s v="SAVE10"/>
    <s v="Email"/>
    <n v="931.4"/>
  </r>
  <r>
    <s v="ORD200184"/>
    <d v="2024-04-04T00:00:00"/>
    <s v="C65180"/>
    <x v="2"/>
    <n v="4"/>
    <n v="214.54"/>
    <s v="231 Main St"/>
    <s v="Gift Card"/>
    <x v="1"/>
    <s v="TRK39255469"/>
    <n v="7"/>
    <s v="No COUPON"/>
    <s v="Referral"/>
    <n v="858.16"/>
  </r>
  <r>
    <s v="ORD200185"/>
    <d v="2025-02-02T00:00:00"/>
    <s v="C46877"/>
    <x v="5"/>
    <n v="1"/>
    <n v="210.7"/>
    <s v="572 Main St"/>
    <s v="Online"/>
    <x v="0"/>
    <s v="TRK96935978"/>
    <n v="2"/>
    <s v="WINTER15"/>
    <s v="Referral"/>
    <n v="210.7"/>
  </r>
  <r>
    <s v="ORD200186"/>
    <d v="2023-12-07T00:00:00"/>
    <s v="C30334"/>
    <x v="1"/>
    <n v="2"/>
    <n v="133.55000000000001"/>
    <s v="322 Main St"/>
    <s v="Cash"/>
    <x v="4"/>
    <s v="TRK66388885"/>
    <n v="7"/>
    <s v="FREESHIP"/>
    <s v="Facebook"/>
    <n v="267.10000000000002"/>
  </r>
  <r>
    <s v="ORD200187"/>
    <d v="2023-02-08T00:00:00"/>
    <s v="C21227"/>
    <x v="3"/>
    <n v="1"/>
    <n v="590.87"/>
    <s v="689 Main St"/>
    <s v="Gift Card"/>
    <x v="2"/>
    <s v="TRK79129657"/>
    <n v="6"/>
    <s v="FREESHIP"/>
    <s v="Referral"/>
    <n v="590.87"/>
  </r>
  <r>
    <s v="ORD200188"/>
    <d v="2025-03-15T00:00:00"/>
    <s v="C97715"/>
    <x v="3"/>
    <n v="2"/>
    <n v="363.91"/>
    <s v="927 Main St"/>
    <s v="Gift Card"/>
    <x v="0"/>
    <s v="TRK19515949"/>
    <n v="2"/>
    <s v="FREESHIP"/>
    <s v="Referral"/>
    <n v="727.82"/>
  </r>
  <r>
    <s v="ORD200189"/>
    <d v="2023-07-05T00:00:00"/>
    <s v="C48939"/>
    <x v="4"/>
    <n v="5"/>
    <n v="429.45"/>
    <s v="597 Main St"/>
    <s v="Gift Card"/>
    <x v="1"/>
    <s v="TRK62786764"/>
    <n v="5"/>
    <s v="WINTER15"/>
    <s v="Email"/>
    <n v="2147.25"/>
  </r>
  <r>
    <s v="ORD200190"/>
    <d v="2024-08-31T00:00:00"/>
    <s v="C35483"/>
    <x v="4"/>
    <n v="3"/>
    <n v="223.7"/>
    <s v="725 Main St"/>
    <s v="Cash"/>
    <x v="2"/>
    <s v="TRK79638203"/>
    <n v="3"/>
    <s v="SAVE10"/>
    <s v="Email"/>
    <n v="671.09999999999991"/>
  </r>
  <r>
    <s v="ORD200191"/>
    <d v="2025-03-08T00:00:00"/>
    <s v="C51494"/>
    <x v="5"/>
    <n v="2"/>
    <n v="488.87"/>
    <s v="505 Main St"/>
    <s v="Online"/>
    <x v="1"/>
    <s v="TRK58520306"/>
    <n v="4"/>
    <s v="FREESHIP"/>
    <s v="Google"/>
    <n v="977.74"/>
  </r>
  <r>
    <s v="ORD200192"/>
    <d v="2023-08-11T00:00:00"/>
    <s v="C58410"/>
    <x v="6"/>
    <n v="1"/>
    <n v="645.46"/>
    <s v="151 Main St"/>
    <s v="Gift Card"/>
    <x v="1"/>
    <s v="TRK19749672"/>
    <n v="5"/>
    <s v="SAVE10"/>
    <s v="Google"/>
    <n v="645.46"/>
  </r>
  <r>
    <s v="ORD200193"/>
    <d v="2023-07-21T00:00:00"/>
    <s v="C11644"/>
    <x v="4"/>
    <n v="1"/>
    <n v="46.66"/>
    <s v="429 Main St"/>
    <s v="Cash"/>
    <x v="1"/>
    <s v="TRK81320339"/>
    <n v="6"/>
    <s v="No COUPON"/>
    <s v="Google"/>
    <n v="46.66"/>
  </r>
  <r>
    <s v="ORD200194"/>
    <d v="2024-06-08T00:00:00"/>
    <s v="C53501"/>
    <x v="0"/>
    <n v="1"/>
    <n v="249.57"/>
    <s v="899 Main St"/>
    <s v="Cash"/>
    <x v="0"/>
    <s v="TRK90144892"/>
    <n v="3"/>
    <s v="FREESHIP"/>
    <s v="Google"/>
    <n v="249.57"/>
  </r>
  <r>
    <s v="ORD200195"/>
    <d v="2024-04-22T00:00:00"/>
    <s v="C63619"/>
    <x v="3"/>
    <n v="3"/>
    <n v="619.21"/>
    <s v="801 Main St"/>
    <s v="Debit Card"/>
    <x v="1"/>
    <s v="TRK65385674"/>
    <n v="6"/>
    <s v="No COUPON"/>
    <s v="Email"/>
    <n v="1857.63"/>
  </r>
  <r>
    <s v="ORD200196"/>
    <d v="2025-01-24T00:00:00"/>
    <s v="C40882"/>
    <x v="6"/>
    <n v="4"/>
    <n v="217.13"/>
    <s v="719 Main St"/>
    <s v="Cash"/>
    <x v="3"/>
    <s v="TRK64165503"/>
    <n v="8"/>
    <s v="WINTER15"/>
    <s v="Email"/>
    <n v="868.52"/>
  </r>
  <r>
    <s v="ORD200197"/>
    <d v="2023-08-27T00:00:00"/>
    <s v="C80135"/>
    <x v="5"/>
    <n v="5"/>
    <n v="221.51"/>
    <s v="723 Main St"/>
    <s v="Cash"/>
    <x v="2"/>
    <s v="TRK95222269"/>
    <n v="5"/>
    <s v="WINTER15"/>
    <s v="Referral"/>
    <n v="1107.55"/>
  </r>
  <r>
    <s v="ORD200198"/>
    <d v="2024-06-11T00:00:00"/>
    <s v="C37594"/>
    <x v="5"/>
    <n v="4"/>
    <n v="340.3"/>
    <s v="926 Main St"/>
    <s v="Cash"/>
    <x v="1"/>
    <s v="TRK94405162"/>
    <n v="8"/>
    <s v="SAVE10"/>
    <s v="Referral"/>
    <n v="1361.2"/>
  </r>
  <r>
    <s v="ORD200199"/>
    <d v="2025-01-23T00:00:00"/>
    <s v="C87524"/>
    <x v="1"/>
    <n v="1"/>
    <n v="625"/>
    <s v="358 Main St"/>
    <s v="Online"/>
    <x v="2"/>
    <s v="TRK21114341"/>
    <n v="5"/>
    <s v="WINTER15"/>
    <s v="Google"/>
    <n v="625"/>
  </r>
  <r>
    <s v="ORD200200"/>
    <d v="2025-06-07T00:00:00"/>
    <s v="C97681"/>
    <x v="2"/>
    <n v="5"/>
    <n v="433.26"/>
    <s v="895 Main St"/>
    <s v="Credit Card"/>
    <x v="3"/>
    <s v="TRK37531040"/>
    <n v="9"/>
    <s v="SAVE10"/>
    <s v="Google"/>
    <n v="2166.3000000000002"/>
  </r>
  <r>
    <s v="ORD200201"/>
    <d v="2023-06-18T00:00:00"/>
    <s v="C10126"/>
    <x v="0"/>
    <n v="2"/>
    <n v="674.9"/>
    <s v="146 Main St"/>
    <s v="Online"/>
    <x v="0"/>
    <s v="TRK75607531"/>
    <n v="4"/>
    <s v="SAVE10"/>
    <s v="Facebook"/>
    <n v="1349.8"/>
  </r>
  <r>
    <s v="ORD200202"/>
    <d v="2025-02-06T00:00:00"/>
    <s v="C36938"/>
    <x v="0"/>
    <n v="3"/>
    <n v="253.98"/>
    <s v="636 Main St"/>
    <s v="Credit Card"/>
    <x v="1"/>
    <s v="TRK52522904"/>
    <n v="3"/>
    <s v="FREESHIP"/>
    <s v="Email"/>
    <n v="761.93999999999994"/>
  </r>
  <r>
    <s v="ORD200203"/>
    <d v="2025-01-21T00:00:00"/>
    <s v="C99173"/>
    <x v="4"/>
    <n v="3"/>
    <n v="356.84"/>
    <s v="172 Main St"/>
    <s v="Online"/>
    <x v="0"/>
    <s v="TRK89849342"/>
    <n v="5"/>
    <s v="SAVE10"/>
    <s v="Instagram"/>
    <n v="1070.52"/>
  </r>
  <r>
    <s v="ORD200204"/>
    <d v="2023-09-05T00:00:00"/>
    <s v="C99775"/>
    <x v="5"/>
    <n v="4"/>
    <n v="413.71"/>
    <s v="478 Main St"/>
    <s v="Gift Card"/>
    <x v="1"/>
    <s v="TRK21638425"/>
    <n v="9"/>
    <s v="FREESHIP"/>
    <s v="Facebook"/>
    <n v="1654.84"/>
  </r>
  <r>
    <s v="ORD200205"/>
    <d v="2023-03-04T00:00:00"/>
    <s v="C19266"/>
    <x v="6"/>
    <n v="3"/>
    <n v="147.38999999999999"/>
    <s v="609 Main St"/>
    <s v="Debit Card"/>
    <x v="2"/>
    <s v="TRK58357269"/>
    <n v="3"/>
    <s v="No COUPON"/>
    <s v="Email"/>
    <n v="442.17"/>
  </r>
  <r>
    <s v="ORD200206"/>
    <d v="2024-04-16T00:00:00"/>
    <s v="C31072"/>
    <x v="5"/>
    <n v="4"/>
    <n v="229.1"/>
    <s v="729 Main St"/>
    <s v="Gift Card"/>
    <x v="2"/>
    <s v="TRK77172975"/>
    <n v="8"/>
    <s v="WINTER15"/>
    <s v="Email"/>
    <n v="916.4"/>
  </r>
  <r>
    <s v="ORD200207"/>
    <d v="2025-03-18T00:00:00"/>
    <s v="C54595"/>
    <x v="1"/>
    <n v="1"/>
    <n v="121.96"/>
    <s v="999 Main St"/>
    <s v="Debit Card"/>
    <x v="3"/>
    <s v="TRK44416659"/>
    <n v="3"/>
    <s v="No COUPON"/>
    <s v="Google"/>
    <n v="121.96"/>
  </r>
  <r>
    <s v="ORD200208"/>
    <d v="2024-10-08T00:00:00"/>
    <s v="C87777"/>
    <x v="6"/>
    <n v="2"/>
    <n v="408.32"/>
    <s v="597 Main St"/>
    <s v="Online"/>
    <x v="0"/>
    <s v="TRK29003608"/>
    <n v="3"/>
    <s v="FREESHIP"/>
    <s v="Facebook"/>
    <n v="816.64"/>
  </r>
  <r>
    <s v="ORD200209"/>
    <d v="2023-08-29T00:00:00"/>
    <s v="C35854"/>
    <x v="2"/>
    <n v="5"/>
    <n v="187.97"/>
    <s v="706 Main St"/>
    <s v="Cash"/>
    <x v="2"/>
    <s v="TRK30615168"/>
    <n v="9"/>
    <s v="SAVE10"/>
    <s v="Google"/>
    <n v="939.85"/>
  </r>
  <r>
    <s v="ORD200210"/>
    <d v="2024-12-05T00:00:00"/>
    <s v="C93821"/>
    <x v="3"/>
    <n v="3"/>
    <n v="358.48"/>
    <s v="513 Main St"/>
    <s v="Gift Card"/>
    <x v="3"/>
    <s v="TRK10658539"/>
    <n v="7"/>
    <s v="FREESHIP"/>
    <s v="Facebook"/>
    <n v="1075.44"/>
  </r>
  <r>
    <s v="ORD200211"/>
    <d v="2025-01-03T00:00:00"/>
    <s v="C54390"/>
    <x v="4"/>
    <n v="3"/>
    <n v="193.58"/>
    <s v="185 Main St"/>
    <s v="Gift Card"/>
    <x v="4"/>
    <s v="TRK83853742"/>
    <n v="7"/>
    <s v="FREESHIP"/>
    <s v="Email"/>
    <n v="580.74"/>
  </r>
  <r>
    <s v="ORD200212"/>
    <d v="2023-06-20T00:00:00"/>
    <s v="C53215"/>
    <x v="0"/>
    <n v="1"/>
    <n v="265.38"/>
    <s v="367 Main St"/>
    <s v="Credit Card"/>
    <x v="1"/>
    <s v="TRK34751835"/>
    <n v="6"/>
    <s v="WINTER15"/>
    <s v="Email"/>
    <n v="265.38"/>
  </r>
  <r>
    <s v="ORD200213"/>
    <d v="2023-04-20T00:00:00"/>
    <s v="C71122"/>
    <x v="5"/>
    <n v="1"/>
    <n v="634.4"/>
    <s v="317 Main St"/>
    <s v="Cash"/>
    <x v="1"/>
    <s v="TRK54757882"/>
    <n v="6"/>
    <s v="SAVE10"/>
    <s v="Email"/>
    <n v="634.4"/>
  </r>
  <r>
    <s v="ORD200214"/>
    <d v="2024-08-21T00:00:00"/>
    <s v="C29483"/>
    <x v="6"/>
    <n v="4"/>
    <n v="305.72000000000003"/>
    <s v="673 Main St"/>
    <s v="Online"/>
    <x v="3"/>
    <s v="TRK89423603"/>
    <n v="5"/>
    <s v="No COUPON"/>
    <s v="Facebook"/>
    <n v="1222.8800000000001"/>
  </r>
  <r>
    <s v="ORD200215"/>
    <d v="2023-08-10T00:00:00"/>
    <s v="C26767"/>
    <x v="4"/>
    <n v="1"/>
    <n v="303.60000000000002"/>
    <s v="432 Main St"/>
    <s v="Cash"/>
    <x v="0"/>
    <s v="TRK24585307"/>
    <n v="5"/>
    <s v="FREESHIP"/>
    <s v="Facebook"/>
    <n v="303.60000000000002"/>
  </r>
  <r>
    <s v="ORD200216"/>
    <d v="2025-04-15T00:00:00"/>
    <s v="C70492"/>
    <x v="0"/>
    <n v="4"/>
    <n v="496"/>
    <s v="811 Main St"/>
    <s v="Online"/>
    <x v="1"/>
    <s v="TRK84625405"/>
    <n v="8"/>
    <s v="WINTER15"/>
    <s v="Google"/>
    <n v="1984"/>
  </r>
  <r>
    <s v="ORD200217"/>
    <d v="2024-05-20T00:00:00"/>
    <s v="C61549"/>
    <x v="6"/>
    <n v="4"/>
    <n v="321.51"/>
    <s v="908 Main St"/>
    <s v="Cash"/>
    <x v="2"/>
    <s v="TRK65596914"/>
    <n v="9"/>
    <s v="No COUPON"/>
    <s v="Google"/>
    <n v="1286.04"/>
  </r>
  <r>
    <s v="ORD200218"/>
    <d v="2023-04-28T00:00:00"/>
    <s v="C11665"/>
    <x v="2"/>
    <n v="3"/>
    <n v="112.46"/>
    <s v="882 Main St"/>
    <s v="Gift Card"/>
    <x v="0"/>
    <s v="TRK10993930"/>
    <n v="6"/>
    <s v="SAVE10"/>
    <s v="Instagram"/>
    <n v="337.38"/>
  </r>
  <r>
    <s v="ORD200219"/>
    <d v="2025-05-02T00:00:00"/>
    <s v="C48946"/>
    <x v="5"/>
    <n v="5"/>
    <n v="61.97"/>
    <s v="457 Main St"/>
    <s v="Cash"/>
    <x v="3"/>
    <s v="TRK99387220"/>
    <n v="6"/>
    <s v="SAVE10"/>
    <s v="Email"/>
    <n v="309.85000000000002"/>
  </r>
  <r>
    <s v="ORD200220"/>
    <d v="2023-07-18T00:00:00"/>
    <s v="C79506"/>
    <x v="5"/>
    <n v="2"/>
    <n v="373.17"/>
    <s v="497 Main St"/>
    <s v="Credit Card"/>
    <x v="4"/>
    <s v="TRK95188748"/>
    <n v="6"/>
    <s v="SAVE10"/>
    <s v="Referral"/>
    <n v="746.34"/>
  </r>
  <r>
    <s v="ORD200221"/>
    <d v="2024-02-23T00:00:00"/>
    <s v="C93473"/>
    <x v="2"/>
    <n v="5"/>
    <n v="639.37"/>
    <s v="552 Main St"/>
    <s v="Debit Card"/>
    <x v="4"/>
    <s v="TRK50003989"/>
    <n v="6"/>
    <s v="SAVE10"/>
    <s v="Google"/>
    <n v="3196.85"/>
  </r>
  <r>
    <s v="ORD200222"/>
    <d v="2023-05-04T00:00:00"/>
    <s v="C43124"/>
    <x v="3"/>
    <n v="4"/>
    <n v="693.36"/>
    <s v="931 Main St"/>
    <s v="Online"/>
    <x v="0"/>
    <s v="TRK17293348"/>
    <n v="8"/>
    <s v="No COUPON"/>
    <s v="Instagram"/>
    <n v="2773.44"/>
  </r>
  <r>
    <s v="ORD200223"/>
    <d v="2024-09-11T00:00:00"/>
    <s v="C22783"/>
    <x v="1"/>
    <n v="4"/>
    <n v="692.91"/>
    <s v="673 Main St"/>
    <s v="Credit Card"/>
    <x v="4"/>
    <s v="TRK55009149"/>
    <n v="9"/>
    <s v="SAVE10"/>
    <s v="Instagram"/>
    <n v="2771.64"/>
  </r>
  <r>
    <s v="ORD200224"/>
    <d v="2023-09-23T00:00:00"/>
    <s v="C18567"/>
    <x v="4"/>
    <n v="4"/>
    <n v="91.46"/>
    <s v="507 Main St"/>
    <s v="Cash"/>
    <x v="1"/>
    <s v="TRK17554673"/>
    <n v="9"/>
    <s v="SAVE10"/>
    <s v="Referral"/>
    <n v="365.84"/>
  </r>
  <r>
    <s v="ORD200225"/>
    <d v="2024-03-13T00:00:00"/>
    <s v="C99879"/>
    <x v="1"/>
    <n v="3"/>
    <n v="273.95999999999998"/>
    <s v="692 Main St"/>
    <s v="Debit Card"/>
    <x v="2"/>
    <s v="TRK50246700"/>
    <n v="8"/>
    <s v="SAVE10"/>
    <s v="Google"/>
    <n v="821.87999999999988"/>
  </r>
  <r>
    <s v="ORD200226"/>
    <d v="2025-06-27T00:00:00"/>
    <s v="C31501"/>
    <x v="6"/>
    <n v="3"/>
    <n v="588.04999999999995"/>
    <s v="242 Main St"/>
    <s v="Gift Card"/>
    <x v="3"/>
    <s v="TRK93063929"/>
    <n v="8"/>
    <s v="No COUPON"/>
    <s v="Instagram"/>
    <n v="1764.15"/>
  </r>
  <r>
    <s v="ORD200227"/>
    <d v="2023-11-02T00:00:00"/>
    <s v="C93220"/>
    <x v="0"/>
    <n v="2"/>
    <n v="365.17"/>
    <s v="353 Main St"/>
    <s v="Online"/>
    <x v="1"/>
    <s v="TRK89023251"/>
    <n v="4"/>
    <s v="FREESHIP"/>
    <s v="Facebook"/>
    <n v="730.34"/>
  </r>
  <r>
    <s v="ORD200228"/>
    <d v="2023-05-17T00:00:00"/>
    <s v="C57867"/>
    <x v="3"/>
    <n v="4"/>
    <n v="385.92"/>
    <s v="579 Main St"/>
    <s v="Credit Card"/>
    <x v="1"/>
    <s v="TRK92055007"/>
    <n v="8"/>
    <s v="No COUPON"/>
    <s v="Instagram"/>
    <n v="1543.68"/>
  </r>
  <r>
    <s v="ORD200229"/>
    <d v="2025-03-28T00:00:00"/>
    <s v="C62622"/>
    <x v="2"/>
    <n v="1"/>
    <n v="562.61"/>
    <s v="762 Main St"/>
    <s v="Credit Card"/>
    <x v="3"/>
    <s v="TRK70997648"/>
    <n v="3"/>
    <s v="WINTER15"/>
    <s v="Facebook"/>
    <n v="562.61"/>
  </r>
  <r>
    <s v="ORD200230"/>
    <d v="2023-12-16T00:00:00"/>
    <s v="C94595"/>
    <x v="6"/>
    <n v="4"/>
    <n v="61.91"/>
    <s v="948 Main St"/>
    <s v="Gift Card"/>
    <x v="3"/>
    <s v="TRK24497305"/>
    <n v="6"/>
    <s v="WINTER15"/>
    <s v="Email"/>
    <n v="247.64"/>
  </r>
  <r>
    <s v="ORD200231"/>
    <d v="2023-11-05T00:00:00"/>
    <s v="C30955"/>
    <x v="1"/>
    <n v="4"/>
    <n v="41.9"/>
    <s v="327 Main St"/>
    <s v="Gift Card"/>
    <x v="4"/>
    <s v="TRK46898848"/>
    <n v="9"/>
    <s v="FREESHIP"/>
    <s v="Instagram"/>
    <n v="167.6"/>
  </r>
  <r>
    <s v="ORD200232"/>
    <d v="2023-05-19T00:00:00"/>
    <s v="C20731"/>
    <x v="4"/>
    <n v="4"/>
    <n v="444.44"/>
    <s v="610 Main St"/>
    <s v="Debit Card"/>
    <x v="1"/>
    <s v="TRK75568437"/>
    <n v="8"/>
    <s v="WINTER15"/>
    <s v="Google"/>
    <n v="1777.76"/>
  </r>
  <r>
    <s v="ORD200233"/>
    <d v="2024-08-24T00:00:00"/>
    <s v="C30168"/>
    <x v="1"/>
    <n v="3"/>
    <n v="311.33"/>
    <s v="146 Main St"/>
    <s v="Cash"/>
    <x v="1"/>
    <s v="TRK73699939"/>
    <n v="3"/>
    <s v="WINTER15"/>
    <s v="Instagram"/>
    <n v="933.99"/>
  </r>
  <r>
    <s v="ORD200234"/>
    <d v="2024-11-26T00:00:00"/>
    <s v="C79842"/>
    <x v="4"/>
    <n v="4"/>
    <n v="236.41"/>
    <s v="337 Main St"/>
    <s v="Debit Card"/>
    <x v="4"/>
    <s v="TRK26957950"/>
    <n v="7"/>
    <s v="SAVE10"/>
    <s v="Google"/>
    <n v="945.64"/>
  </r>
  <r>
    <s v="ORD200235"/>
    <d v="2023-02-20T00:00:00"/>
    <s v="C32854"/>
    <x v="6"/>
    <n v="1"/>
    <n v="65.45"/>
    <s v="815 Main St"/>
    <s v="Cash"/>
    <x v="4"/>
    <s v="TRK30009218"/>
    <n v="2"/>
    <s v="WINTER15"/>
    <s v="Google"/>
    <n v="65.45"/>
  </r>
  <r>
    <s v="ORD200236"/>
    <d v="2023-01-01T00:00:00"/>
    <s v="C14847"/>
    <x v="0"/>
    <n v="1"/>
    <n v="318.81"/>
    <s v="562 Main St"/>
    <s v="Debit Card"/>
    <x v="4"/>
    <s v="TRK39663243"/>
    <n v="3"/>
    <s v="WINTER15"/>
    <s v="Email"/>
    <n v="318.81"/>
  </r>
  <r>
    <s v="ORD200237"/>
    <d v="2024-03-14T00:00:00"/>
    <s v="C88645"/>
    <x v="0"/>
    <n v="3"/>
    <n v="583.72"/>
    <s v="783 Main St"/>
    <s v="Credit Card"/>
    <x v="0"/>
    <s v="TRK74097570"/>
    <n v="5"/>
    <s v="FREESHIP"/>
    <s v="Facebook"/>
    <n v="1751.16"/>
  </r>
  <r>
    <s v="ORD200238"/>
    <d v="2024-12-13T00:00:00"/>
    <s v="C66149"/>
    <x v="6"/>
    <n v="4"/>
    <n v="384.32"/>
    <s v="770 Main St"/>
    <s v="Credit Card"/>
    <x v="4"/>
    <s v="TRK76307307"/>
    <n v="6"/>
    <s v="WINTER15"/>
    <s v="Google"/>
    <n v="1537.28"/>
  </r>
  <r>
    <s v="ORD200239"/>
    <d v="2024-12-11T00:00:00"/>
    <s v="C20256"/>
    <x v="2"/>
    <n v="3"/>
    <n v="538.74"/>
    <s v="456 Main St"/>
    <s v="Online"/>
    <x v="0"/>
    <s v="TRK71127943"/>
    <n v="6"/>
    <s v="FREESHIP"/>
    <s v="Email"/>
    <n v="1616.22"/>
  </r>
  <r>
    <s v="ORD200240"/>
    <d v="2023-07-12T00:00:00"/>
    <s v="C14983"/>
    <x v="2"/>
    <n v="1"/>
    <n v="17.239999999999998"/>
    <s v="255 Main St"/>
    <s v="Online"/>
    <x v="4"/>
    <s v="TRK93444157"/>
    <n v="2"/>
    <s v="FREESHIP"/>
    <s v="Instagram"/>
    <n v="17.239999999999998"/>
  </r>
  <r>
    <s v="ORD200241"/>
    <d v="2023-05-16T00:00:00"/>
    <s v="C20817"/>
    <x v="3"/>
    <n v="5"/>
    <n v="615.66999999999996"/>
    <s v="407 Main St"/>
    <s v="Online"/>
    <x v="4"/>
    <s v="TRK44164590"/>
    <n v="6"/>
    <s v="SAVE10"/>
    <s v="Email"/>
    <n v="3078.35"/>
  </r>
  <r>
    <s v="ORD200242"/>
    <d v="2023-05-09T00:00:00"/>
    <s v="C94921"/>
    <x v="4"/>
    <n v="2"/>
    <n v="219.1"/>
    <s v="134 Main St"/>
    <s v="Online"/>
    <x v="4"/>
    <s v="TRK97794327"/>
    <n v="4"/>
    <s v="SAVE10"/>
    <s v="Referral"/>
    <n v="438.2"/>
  </r>
  <r>
    <s v="ORD200243"/>
    <d v="2025-05-09T00:00:00"/>
    <s v="C54725"/>
    <x v="3"/>
    <n v="2"/>
    <n v="144.66"/>
    <s v="506 Main St"/>
    <s v="Online"/>
    <x v="1"/>
    <s v="TRK30601940"/>
    <n v="7"/>
    <s v="FREESHIP"/>
    <s v="Google"/>
    <n v="289.32"/>
  </r>
  <r>
    <s v="ORD200244"/>
    <d v="2023-02-16T00:00:00"/>
    <s v="C98096"/>
    <x v="6"/>
    <n v="2"/>
    <n v="317.77"/>
    <s v="838 Main St"/>
    <s v="Debit Card"/>
    <x v="1"/>
    <s v="TRK51518631"/>
    <n v="4"/>
    <s v="WINTER15"/>
    <s v="Facebook"/>
    <n v="635.54"/>
  </r>
  <r>
    <s v="ORD200245"/>
    <d v="2025-04-20T00:00:00"/>
    <s v="C12667"/>
    <x v="5"/>
    <n v="1"/>
    <n v="223.3"/>
    <s v="306 Main St"/>
    <s v="Online"/>
    <x v="2"/>
    <s v="TRK25390491"/>
    <n v="1"/>
    <s v="No COUPON"/>
    <s v="Facebook"/>
    <n v="223.3"/>
  </r>
  <r>
    <s v="ORD200246"/>
    <d v="2024-08-30T00:00:00"/>
    <s v="C55354"/>
    <x v="6"/>
    <n v="2"/>
    <n v="342.11"/>
    <s v="164 Main St"/>
    <s v="Gift Card"/>
    <x v="0"/>
    <s v="TRK15439493"/>
    <n v="2"/>
    <s v="WINTER15"/>
    <s v="Instagram"/>
    <n v="684.22"/>
  </r>
  <r>
    <s v="ORD200247"/>
    <d v="2023-07-20T00:00:00"/>
    <s v="C14600"/>
    <x v="4"/>
    <n v="2"/>
    <n v="220.9"/>
    <s v="785 Main St"/>
    <s v="Gift Card"/>
    <x v="0"/>
    <s v="TRK84984764"/>
    <n v="4"/>
    <s v="No COUPON"/>
    <s v="Email"/>
    <n v="441.8"/>
  </r>
  <r>
    <s v="ORD200248"/>
    <d v="2023-07-02T00:00:00"/>
    <s v="C97187"/>
    <x v="5"/>
    <n v="1"/>
    <n v="670.54"/>
    <s v="471 Main St"/>
    <s v="Cash"/>
    <x v="0"/>
    <s v="TRK62283713"/>
    <n v="6"/>
    <s v="FREESHIP"/>
    <s v="Referral"/>
    <n v="670.54"/>
  </r>
  <r>
    <s v="ORD200249"/>
    <d v="2024-02-07T00:00:00"/>
    <s v="C39106"/>
    <x v="4"/>
    <n v="1"/>
    <n v="546.19000000000005"/>
    <s v="245 Main St"/>
    <s v="Cash"/>
    <x v="4"/>
    <s v="TRK35464433"/>
    <n v="5"/>
    <s v="FREESHIP"/>
    <s v="Referral"/>
    <n v="546.19000000000005"/>
  </r>
  <r>
    <s v="ORD200250"/>
    <d v="2023-04-05T00:00:00"/>
    <s v="C93379"/>
    <x v="6"/>
    <n v="3"/>
    <n v="42.95"/>
    <s v="318 Main St"/>
    <s v="Gift Card"/>
    <x v="2"/>
    <s v="TRK67954150"/>
    <n v="8"/>
    <s v="SAVE10"/>
    <s v="Email"/>
    <n v="128.85"/>
  </r>
  <r>
    <s v="ORD200251"/>
    <d v="2025-05-15T00:00:00"/>
    <s v="C93175"/>
    <x v="0"/>
    <n v="4"/>
    <n v="14.69"/>
    <s v="814 Main St"/>
    <s v="Cash"/>
    <x v="1"/>
    <s v="TRK32995144"/>
    <n v="9"/>
    <s v="No COUPON"/>
    <s v="Email"/>
    <n v="58.76"/>
  </r>
  <r>
    <s v="ORD200252"/>
    <d v="2024-09-20T00:00:00"/>
    <s v="C19648"/>
    <x v="1"/>
    <n v="4"/>
    <n v="668.36"/>
    <s v="821 Main St"/>
    <s v="Gift Card"/>
    <x v="1"/>
    <s v="TRK51297879"/>
    <n v="5"/>
    <s v="FREESHIP"/>
    <s v="Facebook"/>
    <n v="2673.44"/>
  </r>
  <r>
    <s v="ORD200253"/>
    <d v="2024-03-23T00:00:00"/>
    <s v="C14891"/>
    <x v="3"/>
    <n v="4"/>
    <n v="413.74"/>
    <s v="743 Main St"/>
    <s v="Gift Card"/>
    <x v="2"/>
    <s v="TRK79471534"/>
    <n v="7"/>
    <s v="FREESHIP"/>
    <s v="Instagram"/>
    <n v="1654.96"/>
  </r>
  <r>
    <s v="ORD200254"/>
    <d v="2023-12-26T00:00:00"/>
    <s v="C10866"/>
    <x v="0"/>
    <n v="3"/>
    <n v="263.19"/>
    <s v="770 Main St"/>
    <s v="Online"/>
    <x v="3"/>
    <s v="TRK34809583"/>
    <n v="5"/>
    <s v="No COUPON"/>
    <s v="Instagram"/>
    <n v="789.56999999999994"/>
  </r>
  <r>
    <s v="ORD200255"/>
    <d v="2024-05-13T00:00:00"/>
    <s v="C47283"/>
    <x v="0"/>
    <n v="1"/>
    <n v="263.95999999999998"/>
    <s v="806 Main St"/>
    <s v="Gift Card"/>
    <x v="2"/>
    <s v="TRK56235117"/>
    <n v="2"/>
    <s v="SAVE10"/>
    <s v="Google"/>
    <n v="263.95999999999998"/>
  </r>
  <r>
    <s v="ORD200256"/>
    <d v="2025-06-30T00:00:00"/>
    <s v="C94323"/>
    <x v="3"/>
    <n v="5"/>
    <n v="75.81"/>
    <s v="463 Main St"/>
    <s v="Gift Card"/>
    <x v="2"/>
    <s v="TRK22663277"/>
    <n v="10"/>
    <s v="WINTER15"/>
    <s v="Instagram"/>
    <n v="379.05"/>
  </r>
  <r>
    <s v="ORD200257"/>
    <d v="2024-04-23T00:00:00"/>
    <s v="C89732"/>
    <x v="1"/>
    <n v="1"/>
    <n v="406.22"/>
    <s v="712 Main St"/>
    <s v="Credit Card"/>
    <x v="1"/>
    <s v="TRK41059233"/>
    <n v="5"/>
    <s v="SAVE10"/>
    <s v="Referral"/>
    <n v="406.22"/>
  </r>
  <r>
    <s v="ORD200258"/>
    <d v="2024-02-26T00:00:00"/>
    <s v="C87764"/>
    <x v="2"/>
    <n v="2"/>
    <n v="103.41"/>
    <s v="294 Main St"/>
    <s v="Online"/>
    <x v="0"/>
    <s v="TRK94082469"/>
    <n v="2"/>
    <s v="FREESHIP"/>
    <s v="Referral"/>
    <n v="206.82"/>
  </r>
  <r>
    <s v="ORD200259"/>
    <d v="2023-06-11T00:00:00"/>
    <s v="C20977"/>
    <x v="3"/>
    <n v="4"/>
    <n v="435.12"/>
    <s v="636 Main St"/>
    <s v="Credit Card"/>
    <x v="3"/>
    <s v="TRK54991561"/>
    <n v="9"/>
    <s v="SAVE10"/>
    <s v="Instagram"/>
    <n v="1740.48"/>
  </r>
  <r>
    <s v="ORD200260"/>
    <d v="2023-05-17T00:00:00"/>
    <s v="C12245"/>
    <x v="0"/>
    <n v="2"/>
    <n v="407.79"/>
    <s v="153 Main St"/>
    <s v="Debit Card"/>
    <x v="0"/>
    <s v="TRK22000463"/>
    <n v="3"/>
    <s v="No COUPON"/>
    <s v="Google"/>
    <n v="815.58"/>
  </r>
  <r>
    <s v="ORD200261"/>
    <d v="2025-05-28T00:00:00"/>
    <s v="C68976"/>
    <x v="1"/>
    <n v="5"/>
    <n v="173.65"/>
    <s v="460 Main St"/>
    <s v="Gift Card"/>
    <x v="3"/>
    <s v="TRK25491356"/>
    <n v="9"/>
    <s v="SAVE10"/>
    <s v="Email"/>
    <n v="868.25"/>
  </r>
  <r>
    <s v="ORD200262"/>
    <d v="2023-01-10T00:00:00"/>
    <s v="C69476"/>
    <x v="1"/>
    <n v="4"/>
    <n v="249.07"/>
    <s v="642 Main St"/>
    <s v="Credit Card"/>
    <x v="2"/>
    <s v="TRK65869386"/>
    <n v="5"/>
    <s v="WINTER15"/>
    <s v="Referral"/>
    <n v="996.28"/>
  </r>
  <r>
    <s v="ORD200263"/>
    <d v="2023-03-25T00:00:00"/>
    <s v="C71040"/>
    <x v="1"/>
    <n v="4"/>
    <n v="434.85"/>
    <s v="250 Main St"/>
    <s v="Credit Card"/>
    <x v="4"/>
    <s v="TRK41397604"/>
    <n v="4"/>
    <s v="WINTER15"/>
    <s v="Google"/>
    <n v="1739.4"/>
  </r>
  <r>
    <s v="ORD200264"/>
    <d v="2024-08-03T00:00:00"/>
    <s v="C71035"/>
    <x v="2"/>
    <n v="1"/>
    <n v="436.77"/>
    <s v="977 Main St"/>
    <s v="Cash"/>
    <x v="2"/>
    <s v="TRK19599578"/>
    <n v="5"/>
    <s v="FREESHIP"/>
    <s v="Google"/>
    <n v="436.77"/>
  </r>
  <r>
    <s v="ORD200265"/>
    <d v="2023-12-22T00:00:00"/>
    <s v="C20752"/>
    <x v="4"/>
    <n v="1"/>
    <n v="572.13"/>
    <s v="150 Main St"/>
    <s v="Debit Card"/>
    <x v="1"/>
    <s v="TRK22298450"/>
    <n v="4"/>
    <s v="SAVE10"/>
    <s v="Google"/>
    <n v="572.13"/>
  </r>
  <r>
    <s v="ORD200266"/>
    <d v="2024-06-08T00:00:00"/>
    <s v="C38840"/>
    <x v="3"/>
    <n v="4"/>
    <n v="583.07000000000005"/>
    <s v="589 Main St"/>
    <s v="Credit Card"/>
    <x v="1"/>
    <s v="TRK48484633"/>
    <n v="6"/>
    <s v="FREESHIP"/>
    <s v="Referral"/>
    <n v="2332.2800000000002"/>
  </r>
  <r>
    <s v="ORD200267"/>
    <d v="2025-04-17T00:00:00"/>
    <s v="C84480"/>
    <x v="3"/>
    <n v="5"/>
    <n v="468.51"/>
    <s v="803 Main St"/>
    <s v="Debit Card"/>
    <x v="3"/>
    <s v="TRK62361867"/>
    <n v="9"/>
    <s v="No COUPON"/>
    <s v="Facebook"/>
    <n v="2342.5500000000002"/>
  </r>
  <r>
    <s v="ORD200268"/>
    <d v="2023-08-11T00:00:00"/>
    <s v="C37032"/>
    <x v="1"/>
    <n v="2"/>
    <n v="423.88"/>
    <s v="655 Main St"/>
    <s v="Debit Card"/>
    <x v="3"/>
    <s v="TRK48639226"/>
    <n v="7"/>
    <s v="SAVE10"/>
    <s v="Referral"/>
    <n v="847.76"/>
  </r>
  <r>
    <s v="ORD200269"/>
    <d v="2023-11-25T00:00:00"/>
    <s v="C48942"/>
    <x v="2"/>
    <n v="4"/>
    <n v="663.67"/>
    <s v="129 Main St"/>
    <s v="Credit Card"/>
    <x v="4"/>
    <s v="TRK29355120"/>
    <n v="7"/>
    <s v="FREESHIP"/>
    <s v="Google"/>
    <n v="2654.68"/>
  </r>
  <r>
    <s v="ORD200270"/>
    <d v="2023-06-04T00:00:00"/>
    <s v="C13540"/>
    <x v="4"/>
    <n v="4"/>
    <n v="309.91000000000003"/>
    <s v="127 Main St"/>
    <s v="Debit Card"/>
    <x v="0"/>
    <s v="TRK81087373"/>
    <n v="5"/>
    <s v="WINTER15"/>
    <s v="Google"/>
    <n v="1239.6400000000001"/>
  </r>
  <r>
    <s v="ORD200271"/>
    <d v="2023-03-28T00:00:00"/>
    <s v="C59572"/>
    <x v="0"/>
    <n v="1"/>
    <n v="542.07000000000005"/>
    <s v="791 Main St"/>
    <s v="Cash"/>
    <x v="0"/>
    <s v="TRK16792991"/>
    <n v="6"/>
    <s v="WINTER15"/>
    <s v="Referral"/>
    <n v="542.07000000000005"/>
  </r>
  <r>
    <s v="ORD200272"/>
    <d v="2023-09-19T00:00:00"/>
    <s v="C29758"/>
    <x v="3"/>
    <n v="2"/>
    <n v="399.32"/>
    <s v="119 Main St"/>
    <s v="Online"/>
    <x v="4"/>
    <s v="TRK12990043"/>
    <n v="6"/>
    <s v="WINTER15"/>
    <s v="Instagram"/>
    <n v="798.64"/>
  </r>
  <r>
    <s v="ORD200273"/>
    <d v="2024-10-27T00:00:00"/>
    <s v="C11849"/>
    <x v="2"/>
    <n v="2"/>
    <n v="238.25"/>
    <s v="974 Main St"/>
    <s v="Online"/>
    <x v="1"/>
    <s v="TRK91195261"/>
    <n v="7"/>
    <s v="FREESHIP"/>
    <s v="Email"/>
    <n v="476.5"/>
  </r>
  <r>
    <s v="ORD200274"/>
    <d v="2023-02-04T00:00:00"/>
    <s v="C50967"/>
    <x v="1"/>
    <n v="2"/>
    <n v="182.4"/>
    <s v="884 Main St"/>
    <s v="Gift Card"/>
    <x v="1"/>
    <s v="TRK65300814"/>
    <n v="5"/>
    <s v="SAVE10"/>
    <s v="Referral"/>
    <n v="364.8"/>
  </r>
  <r>
    <s v="ORD200275"/>
    <d v="2023-11-04T00:00:00"/>
    <s v="C80735"/>
    <x v="3"/>
    <n v="2"/>
    <n v="65.069999999999993"/>
    <s v="360 Main St"/>
    <s v="Credit Card"/>
    <x v="1"/>
    <s v="TRK99880231"/>
    <n v="4"/>
    <s v="SAVE10"/>
    <s v="Google"/>
    <n v="130.13999999999999"/>
  </r>
  <r>
    <s v="ORD200276"/>
    <d v="2025-03-29T00:00:00"/>
    <s v="C99050"/>
    <x v="4"/>
    <n v="2"/>
    <n v="600.57000000000005"/>
    <s v="654 Main St"/>
    <s v="Debit Card"/>
    <x v="2"/>
    <s v="TRK56927089"/>
    <n v="3"/>
    <s v="WINTER15"/>
    <s v="Instagram"/>
    <n v="1201.1400000000001"/>
  </r>
  <r>
    <s v="ORD200277"/>
    <d v="2024-09-09T00:00:00"/>
    <s v="C11210"/>
    <x v="3"/>
    <n v="5"/>
    <n v="90.92"/>
    <s v="910 Main St"/>
    <s v="Credit Card"/>
    <x v="3"/>
    <s v="TRK44929965"/>
    <n v="9"/>
    <s v="SAVE10"/>
    <s v="Facebook"/>
    <n v="454.6"/>
  </r>
  <r>
    <s v="ORD200278"/>
    <d v="2024-11-18T00:00:00"/>
    <s v="C46015"/>
    <x v="5"/>
    <n v="5"/>
    <n v="362.46"/>
    <s v="299 Main St"/>
    <s v="Cash"/>
    <x v="3"/>
    <s v="TRK46598430"/>
    <n v="6"/>
    <s v="FREESHIP"/>
    <s v="Instagram"/>
    <n v="1812.3"/>
  </r>
  <r>
    <s v="ORD200279"/>
    <d v="2023-10-20T00:00:00"/>
    <s v="C69167"/>
    <x v="3"/>
    <n v="3"/>
    <n v="55.01"/>
    <s v="263 Main St"/>
    <s v="Online"/>
    <x v="4"/>
    <s v="TRK12425655"/>
    <n v="7"/>
    <s v="WINTER15"/>
    <s v="Email"/>
    <n v="165.03"/>
  </r>
  <r>
    <s v="ORD200280"/>
    <d v="2023-03-27T00:00:00"/>
    <s v="C55388"/>
    <x v="2"/>
    <n v="3"/>
    <n v="404.62"/>
    <s v="740 Main St"/>
    <s v="Gift Card"/>
    <x v="3"/>
    <s v="TRK75741001"/>
    <n v="6"/>
    <s v="FREESHIP"/>
    <s v="Instagram"/>
    <n v="1213.8599999999999"/>
  </r>
  <r>
    <s v="ORD200281"/>
    <d v="2023-07-27T00:00:00"/>
    <s v="C87181"/>
    <x v="6"/>
    <n v="4"/>
    <n v="654.79"/>
    <s v="195 Main St"/>
    <s v="Cash"/>
    <x v="4"/>
    <s v="TRK60093390"/>
    <n v="9"/>
    <s v="No COUPON"/>
    <s v="Referral"/>
    <n v="2619.16"/>
  </r>
  <r>
    <s v="ORD200282"/>
    <d v="2025-04-22T00:00:00"/>
    <s v="C30411"/>
    <x v="4"/>
    <n v="4"/>
    <n v="637.79"/>
    <s v="375 Main St"/>
    <s v="Gift Card"/>
    <x v="1"/>
    <s v="TRK71810536"/>
    <n v="9"/>
    <s v="FREESHIP"/>
    <s v="Google"/>
    <n v="2551.16"/>
  </r>
  <r>
    <s v="ORD200283"/>
    <d v="2025-02-28T00:00:00"/>
    <s v="C39638"/>
    <x v="5"/>
    <n v="4"/>
    <n v="540.33000000000004"/>
    <s v="990 Main St"/>
    <s v="Cash"/>
    <x v="0"/>
    <s v="TRK69745608"/>
    <n v="6"/>
    <s v="No COUPON"/>
    <s v="Google"/>
    <n v="2161.3200000000002"/>
  </r>
  <r>
    <s v="ORD200284"/>
    <d v="2023-02-16T00:00:00"/>
    <s v="C27203"/>
    <x v="5"/>
    <n v="5"/>
    <n v="208.17"/>
    <s v="516 Main St"/>
    <s v="Credit Card"/>
    <x v="2"/>
    <s v="TRK22023906"/>
    <n v="6"/>
    <s v="SAVE10"/>
    <s v="Facebook"/>
    <n v="1040.8499999999999"/>
  </r>
  <r>
    <s v="ORD200285"/>
    <d v="2025-06-10T00:00:00"/>
    <s v="C67583"/>
    <x v="1"/>
    <n v="1"/>
    <n v="338.31"/>
    <s v="974 Main St"/>
    <s v="Online"/>
    <x v="3"/>
    <s v="TRK93281700"/>
    <n v="3"/>
    <s v="No COUPON"/>
    <s v="Google"/>
    <n v="338.31"/>
  </r>
  <r>
    <s v="ORD200286"/>
    <d v="2025-04-07T00:00:00"/>
    <s v="C70554"/>
    <x v="0"/>
    <n v="3"/>
    <n v="139.44999999999999"/>
    <s v="187 Main St"/>
    <s v="Gift Card"/>
    <x v="2"/>
    <s v="TRK61086952"/>
    <n v="8"/>
    <s v="WINTER15"/>
    <s v="Google"/>
    <n v="418.35"/>
  </r>
  <r>
    <s v="ORD200287"/>
    <d v="2023-11-24T00:00:00"/>
    <s v="C70437"/>
    <x v="3"/>
    <n v="4"/>
    <n v="655.17999999999995"/>
    <s v="630 Main St"/>
    <s v="Online"/>
    <x v="0"/>
    <s v="TRK26628830"/>
    <n v="5"/>
    <s v="No COUPON"/>
    <s v="Facebook"/>
    <n v="2620.7199999999998"/>
  </r>
  <r>
    <s v="ORD200288"/>
    <d v="2023-03-12T00:00:00"/>
    <s v="C97643"/>
    <x v="5"/>
    <n v="4"/>
    <n v="512.75"/>
    <s v="537 Main St"/>
    <s v="Debit Card"/>
    <x v="2"/>
    <s v="TRK60831391"/>
    <n v="8"/>
    <s v="WINTER15"/>
    <s v="Google"/>
    <n v="2051"/>
  </r>
  <r>
    <s v="ORD200289"/>
    <d v="2023-07-26T00:00:00"/>
    <s v="C17136"/>
    <x v="3"/>
    <n v="4"/>
    <n v="160.49"/>
    <s v="333 Main St"/>
    <s v="Credit Card"/>
    <x v="0"/>
    <s v="TRK55362541"/>
    <n v="8"/>
    <s v="WINTER15"/>
    <s v="Referral"/>
    <n v="641.96"/>
  </r>
  <r>
    <s v="ORD200290"/>
    <d v="2023-05-05T00:00:00"/>
    <s v="C24901"/>
    <x v="3"/>
    <n v="3"/>
    <n v="99.9"/>
    <s v="258 Main St"/>
    <s v="Cash"/>
    <x v="3"/>
    <s v="TRK14029489"/>
    <n v="8"/>
    <s v="FREESHIP"/>
    <s v="Facebook"/>
    <n v="299.7"/>
  </r>
  <r>
    <s v="ORD200291"/>
    <d v="2024-05-12T00:00:00"/>
    <s v="C61521"/>
    <x v="1"/>
    <n v="2"/>
    <n v="345.01"/>
    <s v="670 Main St"/>
    <s v="Credit Card"/>
    <x v="3"/>
    <s v="TRK93676567"/>
    <n v="6"/>
    <s v="FREESHIP"/>
    <s v="Google"/>
    <n v="690.02"/>
  </r>
  <r>
    <s v="ORD200292"/>
    <d v="2025-01-15T00:00:00"/>
    <s v="C39639"/>
    <x v="0"/>
    <n v="1"/>
    <n v="65.95"/>
    <s v="185 Main St"/>
    <s v="Credit Card"/>
    <x v="3"/>
    <s v="TRK31042152"/>
    <n v="5"/>
    <s v="No COUPON"/>
    <s v="Facebook"/>
    <n v="65.95"/>
  </r>
  <r>
    <s v="ORD200293"/>
    <d v="2023-02-16T00:00:00"/>
    <s v="C33220"/>
    <x v="2"/>
    <n v="4"/>
    <n v="463.04"/>
    <s v="564 Main St"/>
    <s v="Gift Card"/>
    <x v="2"/>
    <s v="TRK40450219"/>
    <n v="9"/>
    <s v="No COUPON"/>
    <s v="Instagram"/>
    <n v="1852.16"/>
  </r>
  <r>
    <s v="ORD200294"/>
    <d v="2025-04-01T00:00:00"/>
    <s v="C65414"/>
    <x v="1"/>
    <n v="2"/>
    <n v="297.70999999999998"/>
    <s v="208 Main St"/>
    <s v="Online"/>
    <x v="0"/>
    <s v="TRK67562517"/>
    <n v="7"/>
    <s v="SAVE10"/>
    <s v="Referral"/>
    <n v="595.41999999999996"/>
  </r>
  <r>
    <s v="ORD200295"/>
    <d v="2023-01-25T00:00:00"/>
    <s v="C49009"/>
    <x v="4"/>
    <n v="5"/>
    <n v="107.48"/>
    <s v="278 Main St"/>
    <s v="Debit Card"/>
    <x v="1"/>
    <s v="TRK46285799"/>
    <n v="9"/>
    <s v="FREESHIP"/>
    <s v="Email"/>
    <n v="537.4"/>
  </r>
  <r>
    <s v="ORD200296"/>
    <d v="2024-06-19T00:00:00"/>
    <s v="C48453"/>
    <x v="6"/>
    <n v="5"/>
    <n v="638.79999999999995"/>
    <s v="434 Main St"/>
    <s v="Debit Card"/>
    <x v="1"/>
    <s v="TRK52110494"/>
    <n v="10"/>
    <s v="WINTER15"/>
    <s v="Referral"/>
    <n v="3194"/>
  </r>
  <r>
    <s v="ORD200297"/>
    <d v="2023-02-22T00:00:00"/>
    <s v="C68078"/>
    <x v="6"/>
    <n v="2"/>
    <n v="493.88"/>
    <s v="252 Main St"/>
    <s v="Credit Card"/>
    <x v="2"/>
    <s v="TRK64862812"/>
    <n v="7"/>
    <s v="SAVE10"/>
    <s v="Instagram"/>
    <n v="987.76"/>
  </r>
  <r>
    <s v="ORD200298"/>
    <d v="2023-12-19T00:00:00"/>
    <s v="C19402"/>
    <x v="4"/>
    <n v="4"/>
    <n v="301.17"/>
    <s v="267 Main St"/>
    <s v="Online"/>
    <x v="1"/>
    <s v="TRK97825212"/>
    <n v="6"/>
    <s v="No COUPON"/>
    <s v="Email"/>
    <n v="1204.68"/>
  </r>
  <r>
    <s v="ORD200299"/>
    <d v="2024-01-20T00:00:00"/>
    <s v="C30711"/>
    <x v="0"/>
    <n v="1"/>
    <n v="278.66000000000003"/>
    <s v="856 Main St"/>
    <s v="Gift Card"/>
    <x v="1"/>
    <s v="TRK42696593"/>
    <n v="2"/>
    <s v="FREESHIP"/>
    <s v="Instagram"/>
    <n v="278.66000000000003"/>
  </r>
  <r>
    <s v="ORD200300"/>
    <d v="2024-09-02T00:00:00"/>
    <s v="C39000"/>
    <x v="1"/>
    <n v="1"/>
    <n v="287.45999999999998"/>
    <s v="894 Main St"/>
    <s v="Debit Card"/>
    <x v="2"/>
    <s v="TRK33753945"/>
    <n v="3"/>
    <s v="FREESHIP"/>
    <s v="Facebook"/>
    <n v="287.45999999999998"/>
  </r>
  <r>
    <s v="ORD200301"/>
    <d v="2023-05-11T00:00:00"/>
    <s v="C31105"/>
    <x v="3"/>
    <n v="1"/>
    <n v="583.99"/>
    <s v="726 Main St"/>
    <s v="Cash"/>
    <x v="1"/>
    <s v="TRK40149095"/>
    <n v="2"/>
    <s v="SAVE10"/>
    <s v="Email"/>
    <n v="583.99"/>
  </r>
  <r>
    <s v="ORD200302"/>
    <d v="2023-05-16T00:00:00"/>
    <s v="C29432"/>
    <x v="3"/>
    <n v="3"/>
    <n v="468.74"/>
    <s v="121 Main St"/>
    <s v="Cash"/>
    <x v="4"/>
    <s v="TRK44142517"/>
    <n v="4"/>
    <s v="FREESHIP"/>
    <s v="Instagram"/>
    <n v="1406.22"/>
  </r>
  <r>
    <s v="ORD200303"/>
    <d v="2024-12-07T00:00:00"/>
    <s v="C48531"/>
    <x v="2"/>
    <n v="1"/>
    <n v="30.54"/>
    <s v="368 Main St"/>
    <s v="Debit Card"/>
    <x v="2"/>
    <s v="TRK95462192"/>
    <n v="1"/>
    <s v="No COUPON"/>
    <s v="Google"/>
    <n v="30.54"/>
  </r>
  <r>
    <s v="ORD200304"/>
    <d v="2024-10-18T00:00:00"/>
    <s v="C86762"/>
    <x v="0"/>
    <n v="5"/>
    <n v="408.73"/>
    <s v="326 Main St"/>
    <s v="Gift Card"/>
    <x v="3"/>
    <s v="TRK75686292"/>
    <n v="10"/>
    <s v="FREESHIP"/>
    <s v="Instagram"/>
    <n v="2043.65"/>
  </r>
  <r>
    <s v="ORD200305"/>
    <d v="2023-11-25T00:00:00"/>
    <s v="C63822"/>
    <x v="5"/>
    <n v="4"/>
    <n v="126.89"/>
    <s v="235 Main St"/>
    <s v="Cash"/>
    <x v="4"/>
    <s v="TRK59353216"/>
    <n v="9"/>
    <s v="FREESHIP"/>
    <s v="Instagram"/>
    <n v="507.56"/>
  </r>
  <r>
    <s v="ORD200306"/>
    <d v="2024-06-07T00:00:00"/>
    <s v="C70495"/>
    <x v="4"/>
    <n v="2"/>
    <n v="57.07"/>
    <s v="238 Main St"/>
    <s v="Debit Card"/>
    <x v="2"/>
    <s v="TRK65511225"/>
    <n v="3"/>
    <s v="SAVE10"/>
    <s v="Instagram"/>
    <n v="114.14"/>
  </r>
  <r>
    <s v="ORD200307"/>
    <d v="2023-07-01T00:00:00"/>
    <s v="C92407"/>
    <x v="5"/>
    <n v="3"/>
    <n v="557.41"/>
    <s v="135 Main St"/>
    <s v="Online"/>
    <x v="3"/>
    <s v="TRK11755610"/>
    <n v="4"/>
    <s v="No COUPON"/>
    <s v="Email"/>
    <n v="1672.23"/>
  </r>
  <r>
    <s v="ORD200308"/>
    <d v="2023-12-11T00:00:00"/>
    <s v="C75888"/>
    <x v="4"/>
    <n v="3"/>
    <n v="448.9"/>
    <s v="790 Main St"/>
    <s v="Debit Card"/>
    <x v="2"/>
    <s v="TRK98467398"/>
    <n v="7"/>
    <s v="SAVE10"/>
    <s v="Instagram"/>
    <n v="1346.7"/>
  </r>
  <r>
    <s v="ORD200309"/>
    <d v="2023-10-03T00:00:00"/>
    <s v="C63153"/>
    <x v="3"/>
    <n v="4"/>
    <n v="549.76"/>
    <s v="625 Main St"/>
    <s v="Debit Card"/>
    <x v="3"/>
    <s v="TRK38033305"/>
    <n v="4"/>
    <s v="FREESHIP"/>
    <s v="Facebook"/>
    <n v="2199.04"/>
  </r>
  <r>
    <s v="ORD200310"/>
    <d v="2024-02-24T00:00:00"/>
    <s v="C85863"/>
    <x v="4"/>
    <n v="3"/>
    <n v="132.47999999999999"/>
    <s v="968 Main St"/>
    <s v="Online"/>
    <x v="0"/>
    <s v="TRK16094218"/>
    <n v="4"/>
    <s v="No COUPON"/>
    <s v="Referral"/>
    <n v="397.43999999999988"/>
  </r>
  <r>
    <s v="ORD200311"/>
    <d v="2025-05-17T00:00:00"/>
    <s v="C71698"/>
    <x v="6"/>
    <n v="5"/>
    <n v="489.37"/>
    <s v="274 Main St"/>
    <s v="Online"/>
    <x v="2"/>
    <s v="TRK34786818"/>
    <n v="8"/>
    <s v="No COUPON"/>
    <s v="Instagram"/>
    <n v="2446.85"/>
  </r>
  <r>
    <s v="ORD200312"/>
    <d v="2025-05-24T00:00:00"/>
    <s v="C35397"/>
    <x v="4"/>
    <n v="5"/>
    <n v="66.31"/>
    <s v="579 Main St"/>
    <s v="Gift Card"/>
    <x v="4"/>
    <s v="TRK64742535"/>
    <n v="7"/>
    <s v="FREESHIP"/>
    <s v="Referral"/>
    <n v="331.55"/>
  </r>
  <r>
    <s v="ORD200313"/>
    <d v="2023-07-09T00:00:00"/>
    <s v="C67687"/>
    <x v="3"/>
    <n v="2"/>
    <n v="434.3"/>
    <s v="978 Main St"/>
    <s v="Cash"/>
    <x v="3"/>
    <s v="TRK22838735"/>
    <n v="7"/>
    <s v="SAVE10"/>
    <s v="Instagram"/>
    <n v="868.6"/>
  </r>
  <r>
    <s v="ORD200314"/>
    <d v="2023-10-04T00:00:00"/>
    <s v="C29931"/>
    <x v="6"/>
    <n v="4"/>
    <n v="153.09"/>
    <s v="540 Main St"/>
    <s v="Online"/>
    <x v="3"/>
    <s v="TRK48712417"/>
    <n v="4"/>
    <s v="FREESHIP"/>
    <s v="Referral"/>
    <n v="612.36"/>
  </r>
  <r>
    <s v="ORD200315"/>
    <d v="2025-05-12T00:00:00"/>
    <s v="C59139"/>
    <x v="2"/>
    <n v="5"/>
    <n v="91.67"/>
    <s v="301 Main St"/>
    <s v="Online"/>
    <x v="1"/>
    <s v="TRK45507090"/>
    <n v="9"/>
    <s v="FREESHIP"/>
    <s v="Email"/>
    <n v="458.35"/>
  </r>
  <r>
    <s v="ORD200316"/>
    <d v="2023-10-02T00:00:00"/>
    <s v="C66078"/>
    <x v="6"/>
    <n v="4"/>
    <n v="275.27999999999997"/>
    <s v="101 Main St"/>
    <s v="Gift Card"/>
    <x v="0"/>
    <s v="TRK86474559"/>
    <n v="9"/>
    <s v="WINTER15"/>
    <s v="Facebook"/>
    <n v="1101.1199999999999"/>
  </r>
  <r>
    <s v="ORD200317"/>
    <d v="2023-04-10T00:00:00"/>
    <s v="C88370"/>
    <x v="0"/>
    <n v="2"/>
    <n v="139.94999999999999"/>
    <s v="339 Main St"/>
    <s v="Online"/>
    <x v="2"/>
    <s v="TRK22575151"/>
    <n v="5"/>
    <s v="No COUPON"/>
    <s v="Instagram"/>
    <n v="279.89999999999998"/>
  </r>
  <r>
    <s v="ORD200318"/>
    <d v="2024-07-27T00:00:00"/>
    <s v="C93375"/>
    <x v="3"/>
    <n v="3"/>
    <n v="148.72"/>
    <s v="317 Main St"/>
    <s v="Debit Card"/>
    <x v="1"/>
    <s v="TRK95706967"/>
    <n v="7"/>
    <s v="SAVE10"/>
    <s v="Google"/>
    <n v="446.16"/>
  </r>
  <r>
    <s v="ORD200319"/>
    <d v="2023-12-02T00:00:00"/>
    <s v="C53049"/>
    <x v="5"/>
    <n v="2"/>
    <n v="563.05999999999995"/>
    <s v="413 Main St"/>
    <s v="Cash"/>
    <x v="2"/>
    <s v="TRK48974907"/>
    <n v="6"/>
    <s v="No COUPON"/>
    <s v="Instagram"/>
    <n v="1126.1199999999999"/>
  </r>
  <r>
    <s v="ORD200320"/>
    <d v="2024-12-19T00:00:00"/>
    <s v="C55590"/>
    <x v="4"/>
    <n v="1"/>
    <n v="625.51"/>
    <s v="772 Main St"/>
    <s v="Credit Card"/>
    <x v="0"/>
    <s v="TRK48792951"/>
    <n v="1"/>
    <s v="FREESHIP"/>
    <s v="Facebook"/>
    <n v="625.51"/>
  </r>
  <r>
    <s v="ORD200321"/>
    <d v="2023-08-09T00:00:00"/>
    <s v="C47086"/>
    <x v="1"/>
    <n v="4"/>
    <n v="152.29"/>
    <s v="135 Main St"/>
    <s v="Debit Card"/>
    <x v="1"/>
    <s v="TRK44194358"/>
    <n v="6"/>
    <s v="WINTER15"/>
    <s v="Google"/>
    <n v="609.16"/>
  </r>
  <r>
    <s v="ORD200322"/>
    <d v="2024-06-14T00:00:00"/>
    <s v="C48646"/>
    <x v="1"/>
    <n v="5"/>
    <n v="231.82"/>
    <s v="339 Main St"/>
    <s v="Debit Card"/>
    <x v="3"/>
    <s v="TRK18233748"/>
    <n v="6"/>
    <s v="SAVE10"/>
    <s v="Facebook"/>
    <n v="1159.0999999999999"/>
  </r>
  <r>
    <s v="ORD200323"/>
    <d v="2025-01-26T00:00:00"/>
    <s v="C29416"/>
    <x v="5"/>
    <n v="1"/>
    <n v="150.16999999999999"/>
    <s v="414 Main St"/>
    <s v="Debit Card"/>
    <x v="2"/>
    <s v="TRK63820842"/>
    <n v="1"/>
    <s v="SAVE10"/>
    <s v="Referral"/>
    <n v="150.16999999999999"/>
  </r>
  <r>
    <s v="ORD200324"/>
    <d v="2024-06-13T00:00:00"/>
    <s v="C13525"/>
    <x v="2"/>
    <n v="3"/>
    <n v="70.930000000000007"/>
    <s v="847 Main St"/>
    <s v="Debit Card"/>
    <x v="2"/>
    <s v="TRK70193221"/>
    <n v="5"/>
    <s v="No COUPON"/>
    <s v="Referral"/>
    <n v="212.79"/>
  </r>
  <r>
    <s v="ORD200325"/>
    <d v="2023-06-29T00:00:00"/>
    <s v="C53545"/>
    <x v="6"/>
    <n v="3"/>
    <n v="361.39"/>
    <s v="665 Main St"/>
    <s v="Credit Card"/>
    <x v="0"/>
    <s v="TRK61123177"/>
    <n v="8"/>
    <s v="No COUPON"/>
    <s v="Referral"/>
    <n v="1084.17"/>
  </r>
  <r>
    <s v="ORD200326"/>
    <d v="2024-07-01T00:00:00"/>
    <s v="C65986"/>
    <x v="5"/>
    <n v="5"/>
    <n v="670.48"/>
    <s v="273 Main St"/>
    <s v="Gift Card"/>
    <x v="2"/>
    <s v="TRK98353867"/>
    <n v="5"/>
    <s v="SAVE10"/>
    <s v="Facebook"/>
    <n v="3352.4"/>
  </r>
  <r>
    <s v="ORD200327"/>
    <d v="2023-07-25T00:00:00"/>
    <s v="C17302"/>
    <x v="1"/>
    <n v="1"/>
    <n v="359.99"/>
    <s v="385 Main St"/>
    <s v="Gift Card"/>
    <x v="1"/>
    <s v="TRK43940016"/>
    <n v="5"/>
    <s v="SAVE10"/>
    <s v="Email"/>
    <n v="359.99"/>
  </r>
  <r>
    <s v="ORD200328"/>
    <d v="2023-02-28T00:00:00"/>
    <s v="C18404"/>
    <x v="2"/>
    <n v="5"/>
    <n v="674.04"/>
    <s v="546 Main St"/>
    <s v="Online"/>
    <x v="1"/>
    <s v="TRK89401624"/>
    <n v="7"/>
    <s v="SAVE10"/>
    <s v="Google"/>
    <n v="3370.2"/>
  </r>
  <r>
    <s v="ORD200329"/>
    <d v="2024-12-25T00:00:00"/>
    <s v="C88371"/>
    <x v="3"/>
    <n v="4"/>
    <n v="283.16000000000003"/>
    <s v="306 Main St"/>
    <s v="Credit Card"/>
    <x v="0"/>
    <s v="TRK63224811"/>
    <n v="6"/>
    <s v="No COUPON"/>
    <s v="Google"/>
    <n v="1132.6400000000001"/>
  </r>
  <r>
    <s v="ORD200330"/>
    <d v="2024-06-02T00:00:00"/>
    <s v="C38068"/>
    <x v="6"/>
    <n v="5"/>
    <n v="260.52999999999997"/>
    <s v="532 Main St"/>
    <s v="Gift Card"/>
    <x v="4"/>
    <s v="TRK54059198"/>
    <n v="5"/>
    <s v="SAVE10"/>
    <s v="Instagram"/>
    <n v="1302.6500000000001"/>
  </r>
  <r>
    <s v="ORD200331"/>
    <d v="2023-04-15T00:00:00"/>
    <s v="C78724"/>
    <x v="4"/>
    <n v="3"/>
    <n v="422.13"/>
    <s v="187 Main St"/>
    <s v="Online"/>
    <x v="3"/>
    <s v="TRK25703134"/>
    <n v="7"/>
    <s v="SAVE10"/>
    <s v="Facebook"/>
    <n v="1266.3900000000001"/>
  </r>
  <r>
    <s v="ORD200332"/>
    <d v="2024-07-03T00:00:00"/>
    <s v="C26163"/>
    <x v="6"/>
    <n v="5"/>
    <n v="125.02"/>
    <s v="607 Main St"/>
    <s v="Debit Card"/>
    <x v="4"/>
    <s v="TRK67499316"/>
    <n v="9"/>
    <s v="SAVE10"/>
    <s v="Google"/>
    <n v="625.1"/>
  </r>
  <r>
    <s v="ORD200333"/>
    <d v="2024-04-16T00:00:00"/>
    <s v="C87124"/>
    <x v="1"/>
    <n v="1"/>
    <n v="198.51"/>
    <s v="818 Main St"/>
    <s v="Credit Card"/>
    <x v="2"/>
    <s v="TRK52086740"/>
    <n v="5"/>
    <s v="WINTER15"/>
    <s v="Instagram"/>
    <n v="198.51"/>
  </r>
  <r>
    <s v="ORD200334"/>
    <d v="2024-03-26T00:00:00"/>
    <s v="C90348"/>
    <x v="3"/>
    <n v="4"/>
    <n v="224.75"/>
    <s v="728 Main St"/>
    <s v="Online"/>
    <x v="3"/>
    <s v="TRK20635777"/>
    <n v="7"/>
    <s v="WINTER15"/>
    <s v="Facebook"/>
    <n v="899"/>
  </r>
  <r>
    <s v="ORD200335"/>
    <d v="2025-03-03T00:00:00"/>
    <s v="C58721"/>
    <x v="2"/>
    <n v="3"/>
    <n v="205.86"/>
    <s v="978 Main St"/>
    <s v="Gift Card"/>
    <x v="0"/>
    <s v="TRK34801199"/>
    <n v="4"/>
    <s v="No COUPON"/>
    <s v="Email"/>
    <n v="617.58000000000004"/>
  </r>
  <r>
    <s v="ORD200336"/>
    <d v="2023-12-29T00:00:00"/>
    <s v="C88174"/>
    <x v="5"/>
    <n v="1"/>
    <n v="18.2"/>
    <s v="441 Main St"/>
    <s v="Debit Card"/>
    <x v="4"/>
    <s v="TRK10143345"/>
    <n v="4"/>
    <s v="SAVE10"/>
    <s v="Instagram"/>
    <n v="18.2"/>
  </r>
  <r>
    <s v="ORD200337"/>
    <d v="2023-05-29T00:00:00"/>
    <s v="C77763"/>
    <x v="2"/>
    <n v="3"/>
    <n v="502.77"/>
    <s v="599 Main St"/>
    <s v="Debit Card"/>
    <x v="2"/>
    <s v="TRK66980447"/>
    <n v="8"/>
    <s v="WINTER15"/>
    <s v="Email"/>
    <n v="1508.31"/>
  </r>
  <r>
    <s v="ORD200338"/>
    <d v="2023-11-08T00:00:00"/>
    <s v="C53627"/>
    <x v="1"/>
    <n v="5"/>
    <n v="305.49"/>
    <s v="704 Main St"/>
    <s v="Debit Card"/>
    <x v="0"/>
    <s v="TRK64112352"/>
    <n v="10"/>
    <s v="No COUPON"/>
    <s v="Referral"/>
    <n v="1527.45"/>
  </r>
  <r>
    <s v="ORD200339"/>
    <d v="2024-04-10T00:00:00"/>
    <s v="C84563"/>
    <x v="4"/>
    <n v="2"/>
    <n v="236.33"/>
    <s v="398 Main St"/>
    <s v="Online"/>
    <x v="4"/>
    <s v="TRK62422797"/>
    <n v="3"/>
    <s v="SAVE10"/>
    <s v="Instagram"/>
    <n v="472.66"/>
  </r>
  <r>
    <s v="ORD200340"/>
    <d v="2023-04-23T00:00:00"/>
    <s v="C76207"/>
    <x v="5"/>
    <n v="5"/>
    <n v="521.25"/>
    <s v="826 Main St"/>
    <s v="Cash"/>
    <x v="1"/>
    <s v="TRK25569378"/>
    <n v="8"/>
    <s v="No COUPON"/>
    <s v="Email"/>
    <n v="2606.25"/>
  </r>
  <r>
    <s v="ORD200341"/>
    <d v="2024-09-23T00:00:00"/>
    <s v="C94671"/>
    <x v="2"/>
    <n v="1"/>
    <n v="167.15"/>
    <s v="293 Main St"/>
    <s v="Gift Card"/>
    <x v="0"/>
    <s v="TRK61357272"/>
    <n v="5"/>
    <s v="WINTER15"/>
    <s v="Email"/>
    <n v="167.15"/>
  </r>
  <r>
    <s v="ORD200342"/>
    <d v="2025-06-24T00:00:00"/>
    <s v="C69994"/>
    <x v="0"/>
    <n v="5"/>
    <n v="466.42"/>
    <s v="619 Main St"/>
    <s v="Gift Card"/>
    <x v="2"/>
    <s v="TRK95935805"/>
    <n v="5"/>
    <s v="No COUPON"/>
    <s v="Referral"/>
    <n v="2332.1"/>
  </r>
  <r>
    <s v="ORD200343"/>
    <d v="2023-02-26T00:00:00"/>
    <s v="C64638"/>
    <x v="4"/>
    <n v="1"/>
    <n v="527.57000000000005"/>
    <s v="919 Main St"/>
    <s v="Debit Card"/>
    <x v="4"/>
    <s v="TRK64087938"/>
    <n v="3"/>
    <s v="FREESHIP"/>
    <s v="Facebook"/>
    <n v="527.57000000000005"/>
  </r>
  <r>
    <s v="ORD200344"/>
    <d v="2025-03-06T00:00:00"/>
    <s v="C95623"/>
    <x v="2"/>
    <n v="3"/>
    <n v="623.34"/>
    <s v="248 Main St"/>
    <s v="Online"/>
    <x v="1"/>
    <s v="TRK67558189"/>
    <n v="3"/>
    <s v="SAVE10"/>
    <s v="Instagram"/>
    <n v="1870.02"/>
  </r>
  <r>
    <s v="ORD200345"/>
    <d v="2023-12-07T00:00:00"/>
    <s v="C24751"/>
    <x v="2"/>
    <n v="5"/>
    <n v="501.26"/>
    <s v="259 Main St"/>
    <s v="Gift Card"/>
    <x v="0"/>
    <s v="TRK37285406"/>
    <n v="10"/>
    <s v="FREESHIP"/>
    <s v="Referral"/>
    <n v="2506.3000000000002"/>
  </r>
  <r>
    <s v="ORD200346"/>
    <d v="2024-12-06T00:00:00"/>
    <s v="C31764"/>
    <x v="2"/>
    <n v="1"/>
    <n v="655.09"/>
    <s v="876 Main St"/>
    <s v="Cash"/>
    <x v="4"/>
    <s v="TRK44680433"/>
    <n v="6"/>
    <s v="No COUPON"/>
    <s v="Referral"/>
    <n v="655.09"/>
  </r>
  <r>
    <s v="ORD200347"/>
    <d v="2024-02-03T00:00:00"/>
    <s v="C83556"/>
    <x v="4"/>
    <n v="4"/>
    <n v="264.79000000000002"/>
    <s v="380 Main St"/>
    <s v="Credit Card"/>
    <x v="4"/>
    <s v="TRK21109187"/>
    <n v="5"/>
    <s v="SAVE10"/>
    <s v="Google"/>
    <n v="1059.1600000000001"/>
  </r>
  <r>
    <s v="ORD200348"/>
    <d v="2024-03-13T00:00:00"/>
    <s v="C24369"/>
    <x v="5"/>
    <n v="3"/>
    <n v="359.73"/>
    <s v="885 Main St"/>
    <s v="Debit Card"/>
    <x v="2"/>
    <s v="TRK72633998"/>
    <n v="7"/>
    <s v="FREESHIP"/>
    <s v="Email"/>
    <n v="1079.19"/>
  </r>
  <r>
    <s v="ORD200349"/>
    <d v="2023-11-30T00:00:00"/>
    <s v="C39648"/>
    <x v="3"/>
    <n v="1"/>
    <n v="465.33"/>
    <s v="824 Main St"/>
    <s v="Gift Card"/>
    <x v="3"/>
    <s v="TRK56016905"/>
    <n v="2"/>
    <s v="FREESHIP"/>
    <s v="Google"/>
    <n v="465.33"/>
  </r>
  <r>
    <s v="ORD200350"/>
    <d v="2023-06-03T00:00:00"/>
    <s v="C13296"/>
    <x v="3"/>
    <n v="2"/>
    <n v="54.41"/>
    <s v="495 Main St"/>
    <s v="Online"/>
    <x v="0"/>
    <s v="TRK60127216"/>
    <n v="6"/>
    <s v="No COUPON"/>
    <s v="Instagram"/>
    <n v="108.82"/>
  </r>
  <r>
    <s v="ORD200351"/>
    <d v="2025-02-15T00:00:00"/>
    <s v="C94248"/>
    <x v="5"/>
    <n v="1"/>
    <n v="64.66"/>
    <s v="494 Main St"/>
    <s v="Debit Card"/>
    <x v="3"/>
    <s v="TRK89406816"/>
    <n v="4"/>
    <s v="No COUPON"/>
    <s v="Instagram"/>
    <n v="64.66"/>
  </r>
  <r>
    <s v="ORD200352"/>
    <d v="2023-08-31T00:00:00"/>
    <s v="C26637"/>
    <x v="3"/>
    <n v="5"/>
    <n v="173.96"/>
    <s v="995 Main St"/>
    <s v="Debit Card"/>
    <x v="4"/>
    <s v="TRK59546992"/>
    <n v="8"/>
    <s v="WINTER15"/>
    <s v="Instagram"/>
    <n v="869.80000000000007"/>
  </r>
  <r>
    <s v="ORD200353"/>
    <d v="2025-03-28T00:00:00"/>
    <s v="C16012"/>
    <x v="2"/>
    <n v="1"/>
    <n v="630.82000000000005"/>
    <s v="171 Main St"/>
    <s v="Online"/>
    <x v="3"/>
    <s v="TRK15195225"/>
    <n v="5"/>
    <s v="FREESHIP"/>
    <s v="Google"/>
    <n v="630.82000000000005"/>
  </r>
  <r>
    <s v="ORD200354"/>
    <d v="2023-07-11T00:00:00"/>
    <s v="C31772"/>
    <x v="1"/>
    <n v="1"/>
    <n v="693.41"/>
    <s v="992 Main St"/>
    <s v="Debit Card"/>
    <x v="0"/>
    <s v="TRK11970357"/>
    <n v="4"/>
    <s v="No COUPON"/>
    <s v="Instagram"/>
    <n v="693.41"/>
  </r>
  <r>
    <s v="ORD200355"/>
    <d v="2025-06-03T00:00:00"/>
    <s v="C18353"/>
    <x v="2"/>
    <n v="3"/>
    <n v="433.33"/>
    <s v="677 Main St"/>
    <s v="Credit Card"/>
    <x v="1"/>
    <s v="TRK78766533"/>
    <n v="4"/>
    <s v="FREESHIP"/>
    <s v="Referral"/>
    <n v="1299.99"/>
  </r>
  <r>
    <s v="ORD200356"/>
    <d v="2023-05-06T00:00:00"/>
    <s v="C26966"/>
    <x v="4"/>
    <n v="5"/>
    <n v="374.58"/>
    <s v="907 Main St"/>
    <s v="Gift Card"/>
    <x v="1"/>
    <s v="TRK83889574"/>
    <n v="10"/>
    <s v="FREESHIP"/>
    <s v="Instagram"/>
    <n v="1872.9"/>
  </r>
  <r>
    <s v="ORD200357"/>
    <d v="2023-07-08T00:00:00"/>
    <s v="C74982"/>
    <x v="5"/>
    <n v="5"/>
    <n v="408.56"/>
    <s v="398 Main St"/>
    <s v="Debit Card"/>
    <x v="3"/>
    <s v="TRK98700702"/>
    <n v="8"/>
    <s v="FREESHIP"/>
    <s v="Instagram"/>
    <n v="2042.8"/>
  </r>
  <r>
    <s v="ORD200358"/>
    <d v="2024-04-07T00:00:00"/>
    <s v="C70633"/>
    <x v="2"/>
    <n v="2"/>
    <n v="183.67"/>
    <s v="747 Main St"/>
    <s v="Online"/>
    <x v="1"/>
    <s v="TRK82540521"/>
    <n v="3"/>
    <s v="SAVE10"/>
    <s v="Google"/>
    <n v="367.34"/>
  </r>
  <r>
    <s v="ORD200359"/>
    <d v="2023-06-09T00:00:00"/>
    <s v="C95643"/>
    <x v="6"/>
    <n v="4"/>
    <n v="606.57000000000005"/>
    <s v="303 Main St"/>
    <s v="Debit Card"/>
    <x v="3"/>
    <s v="TRK23286689"/>
    <n v="5"/>
    <s v="WINTER15"/>
    <s v="Referral"/>
    <n v="2426.2800000000002"/>
  </r>
  <r>
    <s v="ORD200360"/>
    <d v="2024-06-06T00:00:00"/>
    <s v="C53810"/>
    <x v="1"/>
    <n v="4"/>
    <n v="589.57000000000005"/>
    <s v="779 Main St"/>
    <s v="Cash"/>
    <x v="4"/>
    <s v="TRK34630612"/>
    <n v="8"/>
    <s v="No COUPON"/>
    <s v="Instagram"/>
    <n v="2358.2800000000002"/>
  </r>
  <r>
    <s v="ORD200361"/>
    <d v="2024-06-29T00:00:00"/>
    <s v="C53464"/>
    <x v="4"/>
    <n v="5"/>
    <n v="659.85"/>
    <s v="197 Main St"/>
    <s v="Credit Card"/>
    <x v="3"/>
    <s v="TRK32743531"/>
    <n v="9"/>
    <s v="SAVE10"/>
    <s v="Facebook"/>
    <n v="3299.25"/>
  </r>
  <r>
    <s v="ORD200362"/>
    <d v="2023-06-27T00:00:00"/>
    <s v="C53697"/>
    <x v="0"/>
    <n v="4"/>
    <n v="206.84"/>
    <s v="312 Main St"/>
    <s v="Cash"/>
    <x v="1"/>
    <s v="TRK60476656"/>
    <n v="5"/>
    <s v="WINTER15"/>
    <s v="Instagram"/>
    <n v="827.36"/>
  </r>
  <r>
    <s v="ORD200363"/>
    <d v="2024-05-24T00:00:00"/>
    <s v="C31668"/>
    <x v="5"/>
    <n v="5"/>
    <n v="113.87"/>
    <s v="871 Main St"/>
    <s v="Credit Card"/>
    <x v="4"/>
    <s v="TRK42584392"/>
    <n v="6"/>
    <s v="SAVE10"/>
    <s v="Email"/>
    <n v="569.35"/>
  </r>
  <r>
    <s v="ORD200364"/>
    <d v="2023-11-24T00:00:00"/>
    <s v="C85282"/>
    <x v="1"/>
    <n v="5"/>
    <n v="628.74"/>
    <s v="740 Main St"/>
    <s v="Cash"/>
    <x v="1"/>
    <s v="TRK86767206"/>
    <n v="9"/>
    <s v="FREESHIP"/>
    <s v="Facebook"/>
    <n v="3143.7"/>
  </r>
  <r>
    <s v="ORD200365"/>
    <d v="2025-02-14T00:00:00"/>
    <s v="C56796"/>
    <x v="1"/>
    <n v="1"/>
    <n v="678.38"/>
    <s v="607 Main St"/>
    <s v="Credit Card"/>
    <x v="1"/>
    <s v="TRK74263180"/>
    <n v="4"/>
    <s v="SAVE10"/>
    <s v="Referral"/>
    <n v="678.38"/>
  </r>
  <r>
    <s v="ORD200366"/>
    <d v="2023-02-10T00:00:00"/>
    <s v="C95213"/>
    <x v="4"/>
    <n v="3"/>
    <n v="602.24"/>
    <s v="603 Main St"/>
    <s v="Debit Card"/>
    <x v="4"/>
    <s v="TRK40630538"/>
    <n v="8"/>
    <s v="No COUPON"/>
    <s v="Referral"/>
    <n v="1806.72"/>
  </r>
  <r>
    <s v="ORD200367"/>
    <d v="2024-04-25T00:00:00"/>
    <s v="C13108"/>
    <x v="5"/>
    <n v="5"/>
    <n v="658.77"/>
    <s v="712 Main St"/>
    <s v="Gift Card"/>
    <x v="4"/>
    <s v="TRK82284400"/>
    <n v="10"/>
    <s v="FREESHIP"/>
    <s v="Instagram"/>
    <n v="3293.85"/>
  </r>
  <r>
    <s v="ORD200368"/>
    <d v="2023-05-01T00:00:00"/>
    <s v="C85322"/>
    <x v="0"/>
    <n v="3"/>
    <n v="271.02"/>
    <s v="403 Main St"/>
    <s v="Credit Card"/>
    <x v="1"/>
    <s v="TRK89728869"/>
    <n v="6"/>
    <s v="No COUPON"/>
    <s v="Google"/>
    <n v="813.06"/>
  </r>
  <r>
    <s v="ORD200369"/>
    <d v="2024-12-22T00:00:00"/>
    <s v="C43545"/>
    <x v="0"/>
    <n v="5"/>
    <n v="375.25"/>
    <s v="216 Main St"/>
    <s v="Gift Card"/>
    <x v="4"/>
    <s v="TRK73937402"/>
    <n v="9"/>
    <s v="SAVE10"/>
    <s v="Email"/>
    <n v="1876.25"/>
  </r>
  <r>
    <s v="ORD200370"/>
    <d v="2025-05-03T00:00:00"/>
    <s v="C80649"/>
    <x v="1"/>
    <n v="1"/>
    <n v="312.11"/>
    <s v="870 Main St"/>
    <s v="Online"/>
    <x v="1"/>
    <s v="TRK41143313"/>
    <n v="4"/>
    <s v="WINTER15"/>
    <s v="Facebook"/>
    <n v="312.11"/>
  </r>
  <r>
    <s v="ORD200371"/>
    <d v="2023-01-05T00:00:00"/>
    <s v="C59752"/>
    <x v="1"/>
    <n v="5"/>
    <n v="307.76"/>
    <s v="179 Main St"/>
    <s v="Gift Card"/>
    <x v="4"/>
    <s v="TRK82229639"/>
    <n v="9"/>
    <s v="FREESHIP"/>
    <s v="Google"/>
    <n v="1538.8"/>
  </r>
  <r>
    <s v="ORD200372"/>
    <d v="2025-02-14T00:00:00"/>
    <s v="C53645"/>
    <x v="3"/>
    <n v="3"/>
    <n v="483.53"/>
    <s v="166 Main St"/>
    <s v="Cash"/>
    <x v="2"/>
    <s v="TRK12123939"/>
    <n v="4"/>
    <s v="No COUPON"/>
    <s v="Referral"/>
    <n v="1450.59"/>
  </r>
  <r>
    <s v="ORD200373"/>
    <d v="2023-01-02T00:00:00"/>
    <s v="C60178"/>
    <x v="5"/>
    <n v="3"/>
    <n v="341.15"/>
    <s v="969 Main St"/>
    <s v="Cash"/>
    <x v="4"/>
    <s v="TRK84505143"/>
    <n v="4"/>
    <s v="FREESHIP"/>
    <s v="Instagram"/>
    <n v="1023.45"/>
  </r>
  <r>
    <s v="ORD200374"/>
    <d v="2024-09-16T00:00:00"/>
    <s v="C20286"/>
    <x v="0"/>
    <n v="1"/>
    <n v="571.9"/>
    <s v="129 Main St"/>
    <s v="Gift Card"/>
    <x v="4"/>
    <s v="TRK67648338"/>
    <n v="1"/>
    <s v="WINTER15"/>
    <s v="Instagram"/>
    <n v="571.9"/>
  </r>
  <r>
    <s v="ORD200375"/>
    <d v="2025-01-16T00:00:00"/>
    <s v="C87547"/>
    <x v="0"/>
    <n v="4"/>
    <n v="95.03"/>
    <s v="400 Main St"/>
    <s v="Online"/>
    <x v="0"/>
    <s v="TRK71027262"/>
    <n v="8"/>
    <s v="FREESHIP"/>
    <s v="Facebook"/>
    <n v="380.12"/>
  </r>
  <r>
    <s v="ORD200376"/>
    <d v="2023-08-24T00:00:00"/>
    <s v="C64549"/>
    <x v="0"/>
    <n v="5"/>
    <n v="201.22"/>
    <s v="341 Main St"/>
    <s v="Debit Card"/>
    <x v="4"/>
    <s v="TRK20788231"/>
    <n v="6"/>
    <s v="FREESHIP"/>
    <s v="Facebook"/>
    <n v="1006.1"/>
  </r>
  <r>
    <s v="ORD200377"/>
    <d v="2024-07-22T00:00:00"/>
    <s v="C24884"/>
    <x v="0"/>
    <n v="1"/>
    <n v="260.26"/>
    <s v="625 Main St"/>
    <s v="Online"/>
    <x v="4"/>
    <s v="TRK44538419"/>
    <n v="5"/>
    <s v="WINTER15"/>
    <s v="Instagram"/>
    <n v="260.26"/>
  </r>
  <r>
    <s v="ORD200378"/>
    <d v="2024-02-01T00:00:00"/>
    <s v="C62666"/>
    <x v="3"/>
    <n v="5"/>
    <n v="64.5"/>
    <s v="148 Main St"/>
    <s v="Credit Card"/>
    <x v="4"/>
    <s v="TRK91029390"/>
    <n v="8"/>
    <s v="WINTER15"/>
    <s v="Instagram"/>
    <n v="322.5"/>
  </r>
  <r>
    <s v="ORD200379"/>
    <d v="2024-09-21T00:00:00"/>
    <s v="C47284"/>
    <x v="1"/>
    <n v="3"/>
    <n v="297.67"/>
    <s v="500 Main St"/>
    <s v="Online"/>
    <x v="0"/>
    <s v="TRK85756094"/>
    <n v="6"/>
    <s v="No COUPON"/>
    <s v="Google"/>
    <n v="893.01"/>
  </r>
  <r>
    <s v="ORD200380"/>
    <d v="2024-04-20T00:00:00"/>
    <s v="C35355"/>
    <x v="4"/>
    <n v="4"/>
    <n v="331.9"/>
    <s v="127 Main St"/>
    <s v="Cash"/>
    <x v="4"/>
    <s v="TRK52935059"/>
    <n v="5"/>
    <s v="SAVE10"/>
    <s v="Instagram"/>
    <n v="1327.6"/>
  </r>
  <r>
    <s v="ORD200381"/>
    <d v="2023-06-07T00:00:00"/>
    <s v="C29467"/>
    <x v="3"/>
    <n v="1"/>
    <n v="191.76"/>
    <s v="223 Main St"/>
    <s v="Credit Card"/>
    <x v="2"/>
    <s v="TRK98103385"/>
    <n v="1"/>
    <s v="FREESHIP"/>
    <s v="Instagram"/>
    <n v="191.76"/>
  </r>
  <r>
    <s v="ORD200382"/>
    <d v="2025-01-30T00:00:00"/>
    <s v="C26718"/>
    <x v="4"/>
    <n v="4"/>
    <n v="263.08999999999997"/>
    <s v="272 Main St"/>
    <s v="Debit Card"/>
    <x v="0"/>
    <s v="TRK91702525"/>
    <n v="8"/>
    <s v="SAVE10"/>
    <s v="Google"/>
    <n v="1052.3599999999999"/>
  </r>
  <r>
    <s v="ORD200383"/>
    <d v="2023-01-20T00:00:00"/>
    <s v="C18944"/>
    <x v="3"/>
    <n v="4"/>
    <n v="393.8"/>
    <s v="837 Main St"/>
    <s v="Credit Card"/>
    <x v="4"/>
    <s v="TRK45275439"/>
    <n v="7"/>
    <s v="SAVE10"/>
    <s v="Email"/>
    <n v="1575.2"/>
  </r>
  <r>
    <s v="ORD200384"/>
    <d v="2024-11-24T00:00:00"/>
    <s v="C35628"/>
    <x v="3"/>
    <n v="3"/>
    <n v="553.57000000000005"/>
    <s v="147 Main St"/>
    <s v="Credit Card"/>
    <x v="2"/>
    <s v="TRK45688220"/>
    <n v="4"/>
    <s v="FREESHIP"/>
    <s v="Facebook"/>
    <n v="1660.71"/>
  </r>
  <r>
    <s v="ORD200385"/>
    <d v="2023-10-31T00:00:00"/>
    <s v="C56851"/>
    <x v="3"/>
    <n v="5"/>
    <n v="191.63"/>
    <s v="752 Main St"/>
    <s v="Gift Card"/>
    <x v="3"/>
    <s v="TRK65290904"/>
    <n v="6"/>
    <s v="FREESHIP"/>
    <s v="Facebook"/>
    <n v="958.15"/>
  </r>
  <r>
    <s v="ORD200386"/>
    <d v="2023-04-28T00:00:00"/>
    <s v="C12421"/>
    <x v="2"/>
    <n v="1"/>
    <n v="93.02"/>
    <s v="373 Main St"/>
    <s v="Online"/>
    <x v="2"/>
    <s v="TRK32588504"/>
    <n v="4"/>
    <s v="No COUPON"/>
    <s v="Email"/>
    <n v="93.02"/>
  </r>
  <r>
    <s v="ORD200387"/>
    <d v="2024-06-27T00:00:00"/>
    <s v="C25316"/>
    <x v="4"/>
    <n v="2"/>
    <n v="39.53"/>
    <s v="904 Main St"/>
    <s v="Credit Card"/>
    <x v="0"/>
    <s v="TRK55423551"/>
    <n v="3"/>
    <s v="WINTER15"/>
    <s v="Google"/>
    <n v="79.06"/>
  </r>
  <r>
    <s v="ORD200388"/>
    <d v="2023-12-28T00:00:00"/>
    <s v="C22657"/>
    <x v="4"/>
    <n v="3"/>
    <n v="633.97"/>
    <s v="152 Main St"/>
    <s v="Cash"/>
    <x v="4"/>
    <s v="TRK49157047"/>
    <n v="7"/>
    <s v="WINTER15"/>
    <s v="Facebook"/>
    <n v="1901.91"/>
  </r>
  <r>
    <s v="ORD200389"/>
    <d v="2023-12-17T00:00:00"/>
    <s v="C29703"/>
    <x v="6"/>
    <n v="4"/>
    <n v="697.5"/>
    <s v="558 Main St"/>
    <s v="Cash"/>
    <x v="0"/>
    <s v="TRK40543461"/>
    <n v="7"/>
    <s v="FREESHIP"/>
    <s v="Referral"/>
    <n v="2790"/>
  </r>
  <r>
    <s v="ORD200390"/>
    <d v="2023-07-14T00:00:00"/>
    <s v="C55996"/>
    <x v="4"/>
    <n v="5"/>
    <n v="508.69"/>
    <s v="885 Main St"/>
    <s v="Cash"/>
    <x v="3"/>
    <s v="TRK30547638"/>
    <n v="10"/>
    <s v="FREESHIP"/>
    <s v="Google"/>
    <n v="2543.4499999999998"/>
  </r>
  <r>
    <s v="ORD200391"/>
    <d v="2025-01-16T00:00:00"/>
    <s v="C60037"/>
    <x v="5"/>
    <n v="2"/>
    <n v="527.46"/>
    <s v="516 Main St"/>
    <s v="Debit Card"/>
    <x v="1"/>
    <s v="TRK82009557"/>
    <n v="3"/>
    <s v="FREESHIP"/>
    <s v="Referral"/>
    <n v="1054.92"/>
  </r>
  <r>
    <s v="ORD200392"/>
    <d v="2024-02-28T00:00:00"/>
    <s v="C95100"/>
    <x v="1"/>
    <n v="1"/>
    <n v="627.20000000000005"/>
    <s v="197 Main St"/>
    <s v="Online"/>
    <x v="3"/>
    <s v="TRK47366265"/>
    <n v="1"/>
    <s v="WINTER15"/>
    <s v="Email"/>
    <n v="627.20000000000005"/>
  </r>
  <r>
    <s v="ORD200393"/>
    <d v="2024-07-14T00:00:00"/>
    <s v="C39906"/>
    <x v="4"/>
    <n v="1"/>
    <n v="75.010000000000005"/>
    <s v="921 Main St"/>
    <s v="Credit Card"/>
    <x v="2"/>
    <s v="TRK24632134"/>
    <n v="3"/>
    <s v="No COUPON"/>
    <s v="Google"/>
    <n v="75.010000000000005"/>
  </r>
  <r>
    <s v="ORD200394"/>
    <d v="2023-07-05T00:00:00"/>
    <s v="C70148"/>
    <x v="6"/>
    <n v="5"/>
    <n v="529.54999999999995"/>
    <s v="359 Main St"/>
    <s v="Gift Card"/>
    <x v="0"/>
    <s v="TRK34848650"/>
    <n v="10"/>
    <s v="No COUPON"/>
    <s v="Facebook"/>
    <n v="2647.75"/>
  </r>
  <r>
    <s v="ORD200395"/>
    <d v="2025-04-25T00:00:00"/>
    <s v="C30010"/>
    <x v="1"/>
    <n v="3"/>
    <n v="127.41"/>
    <s v="830 Main St"/>
    <s v="Gift Card"/>
    <x v="3"/>
    <s v="TRK35386084"/>
    <n v="7"/>
    <s v="SAVE10"/>
    <s v="Referral"/>
    <n v="382.23"/>
  </r>
  <r>
    <s v="ORD200396"/>
    <d v="2023-12-01T00:00:00"/>
    <s v="C99217"/>
    <x v="2"/>
    <n v="5"/>
    <n v="287.13"/>
    <s v="778 Main St"/>
    <s v="Online"/>
    <x v="0"/>
    <s v="TRK82004594"/>
    <n v="10"/>
    <s v="SAVE10"/>
    <s v="Email"/>
    <n v="1435.65"/>
  </r>
  <r>
    <s v="ORD200397"/>
    <d v="2023-09-28T00:00:00"/>
    <s v="C30184"/>
    <x v="0"/>
    <n v="1"/>
    <n v="427.06"/>
    <s v="987 Main St"/>
    <s v="Online"/>
    <x v="1"/>
    <s v="TRK86674704"/>
    <n v="1"/>
    <s v="WINTER15"/>
    <s v="Referral"/>
    <n v="427.06"/>
  </r>
  <r>
    <s v="ORD200398"/>
    <d v="2024-09-04T00:00:00"/>
    <s v="C50275"/>
    <x v="1"/>
    <n v="5"/>
    <n v="53.93"/>
    <s v="729 Main St"/>
    <s v="Gift Card"/>
    <x v="0"/>
    <s v="TRK98925264"/>
    <n v="7"/>
    <s v="SAVE10"/>
    <s v="Instagram"/>
    <n v="269.64999999999998"/>
  </r>
  <r>
    <s v="ORD200399"/>
    <d v="2024-01-07T00:00:00"/>
    <s v="C64641"/>
    <x v="2"/>
    <n v="5"/>
    <n v="423.93"/>
    <s v="319 Main St"/>
    <s v="Debit Card"/>
    <x v="2"/>
    <s v="TRK32012588"/>
    <n v="5"/>
    <s v="FREESHIP"/>
    <s v="Facebook"/>
    <n v="2119.65"/>
  </r>
  <r>
    <s v="ORD200400"/>
    <d v="2024-09-28T00:00:00"/>
    <s v="C56266"/>
    <x v="6"/>
    <n v="4"/>
    <n v="160.22"/>
    <s v="304 Main St"/>
    <s v="Debit Card"/>
    <x v="2"/>
    <s v="TRK60088901"/>
    <n v="9"/>
    <s v="WINTER15"/>
    <s v="Instagram"/>
    <n v="640.88"/>
  </r>
  <r>
    <s v="ORD200401"/>
    <d v="2025-04-09T00:00:00"/>
    <s v="C98635"/>
    <x v="4"/>
    <n v="1"/>
    <n v="538.67999999999995"/>
    <s v="197 Main St"/>
    <s v="Debit Card"/>
    <x v="2"/>
    <s v="TRK14225465"/>
    <n v="6"/>
    <s v="No COUPON"/>
    <s v="Referral"/>
    <n v="538.67999999999995"/>
  </r>
  <r>
    <s v="ORD200402"/>
    <d v="2023-04-09T00:00:00"/>
    <s v="C83026"/>
    <x v="4"/>
    <n v="5"/>
    <n v="337.38"/>
    <s v="858 Main St"/>
    <s v="Gift Card"/>
    <x v="0"/>
    <s v="TRK79746259"/>
    <n v="5"/>
    <s v="No COUPON"/>
    <s v="Referral"/>
    <n v="1686.9"/>
  </r>
  <r>
    <s v="ORD200403"/>
    <d v="2024-11-10T00:00:00"/>
    <s v="C28893"/>
    <x v="2"/>
    <n v="1"/>
    <n v="620.21"/>
    <s v="740 Main St"/>
    <s v="Online"/>
    <x v="2"/>
    <s v="TRK98333066"/>
    <n v="1"/>
    <s v="FREESHIP"/>
    <s v="Referral"/>
    <n v="620.21"/>
  </r>
  <r>
    <s v="ORD200404"/>
    <d v="2023-03-09T00:00:00"/>
    <s v="C45482"/>
    <x v="0"/>
    <n v="2"/>
    <n v="99.1"/>
    <s v="440 Main St"/>
    <s v="Cash"/>
    <x v="3"/>
    <s v="TRK54571699"/>
    <n v="6"/>
    <s v="No COUPON"/>
    <s v="Instagram"/>
    <n v="198.2"/>
  </r>
  <r>
    <s v="ORD200405"/>
    <d v="2025-01-26T00:00:00"/>
    <s v="C97774"/>
    <x v="0"/>
    <n v="4"/>
    <n v="451.97"/>
    <s v="603 Main St"/>
    <s v="Online"/>
    <x v="1"/>
    <s v="TRK64664424"/>
    <n v="7"/>
    <s v="WINTER15"/>
    <s v="Email"/>
    <n v="1807.88"/>
  </r>
  <r>
    <s v="ORD200406"/>
    <d v="2023-12-10T00:00:00"/>
    <s v="C11657"/>
    <x v="2"/>
    <n v="4"/>
    <n v="66.099999999999994"/>
    <s v="572 Main St"/>
    <s v="Cash"/>
    <x v="2"/>
    <s v="TRK50284486"/>
    <n v="9"/>
    <s v="WINTER15"/>
    <s v="Google"/>
    <n v="264.39999999999998"/>
  </r>
  <r>
    <s v="ORD200407"/>
    <d v="2023-08-13T00:00:00"/>
    <s v="C85993"/>
    <x v="2"/>
    <n v="4"/>
    <n v="547.32000000000005"/>
    <s v="250 Main St"/>
    <s v="Cash"/>
    <x v="2"/>
    <s v="TRK72547640"/>
    <n v="8"/>
    <s v="FREESHIP"/>
    <s v="Instagram"/>
    <n v="2189.2800000000002"/>
  </r>
  <r>
    <s v="ORD200408"/>
    <d v="2025-01-01T00:00:00"/>
    <s v="C11906"/>
    <x v="4"/>
    <n v="3"/>
    <n v="412.53"/>
    <s v="536 Main St"/>
    <s v="Online"/>
    <x v="4"/>
    <s v="TRK31140158"/>
    <n v="6"/>
    <s v="WINTER15"/>
    <s v="Google"/>
    <n v="1237.5899999999999"/>
  </r>
  <r>
    <s v="ORD200409"/>
    <d v="2023-06-28T00:00:00"/>
    <s v="C45187"/>
    <x v="6"/>
    <n v="5"/>
    <n v="84.13"/>
    <s v="767 Main St"/>
    <s v="Online"/>
    <x v="3"/>
    <s v="TRK12320793"/>
    <n v="9"/>
    <s v="SAVE10"/>
    <s v="Google"/>
    <n v="420.65"/>
  </r>
  <r>
    <s v="ORD200410"/>
    <d v="2024-01-18T00:00:00"/>
    <s v="C37375"/>
    <x v="2"/>
    <n v="2"/>
    <n v="518.23"/>
    <s v="184 Main St"/>
    <s v="Debit Card"/>
    <x v="0"/>
    <s v="TRK52470162"/>
    <n v="5"/>
    <s v="No COUPON"/>
    <s v="Email"/>
    <n v="1036.46"/>
  </r>
  <r>
    <s v="ORD200411"/>
    <d v="2024-06-19T00:00:00"/>
    <s v="C66567"/>
    <x v="6"/>
    <n v="2"/>
    <n v="39.51"/>
    <s v="981 Main St"/>
    <s v="Online"/>
    <x v="0"/>
    <s v="TRK21174822"/>
    <n v="5"/>
    <s v="No COUPON"/>
    <s v="Facebook"/>
    <n v="79.02"/>
  </r>
  <r>
    <s v="ORD200412"/>
    <d v="2025-04-11T00:00:00"/>
    <s v="C42451"/>
    <x v="2"/>
    <n v="5"/>
    <n v="133.01"/>
    <s v="246 Main St"/>
    <s v="Credit Card"/>
    <x v="2"/>
    <s v="TRK31313343"/>
    <n v="10"/>
    <s v="No COUPON"/>
    <s v="Facebook"/>
    <n v="665.05"/>
  </r>
  <r>
    <s v="ORD200413"/>
    <d v="2023-10-08T00:00:00"/>
    <s v="C13923"/>
    <x v="2"/>
    <n v="1"/>
    <n v="118.8"/>
    <s v="123 Main St"/>
    <s v="Online"/>
    <x v="3"/>
    <s v="TRK87598790"/>
    <n v="6"/>
    <s v="SAVE10"/>
    <s v="Email"/>
    <n v="118.8"/>
  </r>
  <r>
    <s v="ORD200414"/>
    <d v="2025-05-04T00:00:00"/>
    <s v="C11829"/>
    <x v="6"/>
    <n v="2"/>
    <n v="139.57"/>
    <s v="797 Main St"/>
    <s v="Cash"/>
    <x v="3"/>
    <s v="TRK84229257"/>
    <n v="4"/>
    <s v="WINTER15"/>
    <s v="Facebook"/>
    <n v="279.14"/>
  </r>
  <r>
    <s v="ORD200415"/>
    <d v="2025-04-06T00:00:00"/>
    <s v="C62169"/>
    <x v="3"/>
    <n v="1"/>
    <n v="184.15"/>
    <s v="655 Main St"/>
    <s v="Gift Card"/>
    <x v="0"/>
    <s v="TRK64558985"/>
    <n v="5"/>
    <s v="FREESHIP"/>
    <s v="Facebook"/>
    <n v="184.15"/>
  </r>
  <r>
    <s v="ORD200416"/>
    <d v="2023-07-18T00:00:00"/>
    <s v="C20881"/>
    <x v="5"/>
    <n v="2"/>
    <n v="644.04999999999995"/>
    <s v="652 Main St"/>
    <s v="Gift Card"/>
    <x v="1"/>
    <s v="TRK26263902"/>
    <n v="5"/>
    <s v="WINTER15"/>
    <s v="Referral"/>
    <n v="1288.0999999999999"/>
  </r>
  <r>
    <s v="ORD200417"/>
    <d v="2023-10-24T00:00:00"/>
    <s v="C44492"/>
    <x v="5"/>
    <n v="5"/>
    <n v="55.41"/>
    <s v="954 Main St"/>
    <s v="Online"/>
    <x v="1"/>
    <s v="TRK51429869"/>
    <n v="5"/>
    <s v="No COUPON"/>
    <s v="Google"/>
    <n v="277.05"/>
  </r>
  <r>
    <s v="ORD200418"/>
    <d v="2023-01-11T00:00:00"/>
    <s v="C74169"/>
    <x v="4"/>
    <n v="1"/>
    <n v="310.93"/>
    <s v="862 Main St"/>
    <s v="Online"/>
    <x v="1"/>
    <s v="TRK66144809"/>
    <n v="3"/>
    <s v="No COUPON"/>
    <s v="Facebook"/>
    <n v="310.93"/>
  </r>
  <r>
    <s v="ORD200419"/>
    <d v="2024-04-17T00:00:00"/>
    <s v="C70999"/>
    <x v="2"/>
    <n v="2"/>
    <n v="216.66"/>
    <s v="885 Main St"/>
    <s v="Debit Card"/>
    <x v="4"/>
    <s v="TRK75644156"/>
    <n v="6"/>
    <s v="FREESHIP"/>
    <s v="Instagram"/>
    <n v="433.32"/>
  </r>
  <r>
    <s v="ORD200420"/>
    <d v="2024-11-29T00:00:00"/>
    <s v="C11921"/>
    <x v="1"/>
    <n v="1"/>
    <n v="452.7"/>
    <s v="439 Main St"/>
    <s v="Debit Card"/>
    <x v="0"/>
    <s v="TRK91362635"/>
    <n v="5"/>
    <s v="FREESHIP"/>
    <s v="Instagram"/>
    <n v="452.7"/>
  </r>
  <r>
    <s v="ORD200421"/>
    <d v="2023-10-15T00:00:00"/>
    <s v="C50683"/>
    <x v="3"/>
    <n v="2"/>
    <n v="288.20999999999998"/>
    <s v="769 Main St"/>
    <s v="Debit Card"/>
    <x v="1"/>
    <s v="TRK53032122"/>
    <n v="5"/>
    <s v="No COUPON"/>
    <s v="Email"/>
    <n v="576.41999999999996"/>
  </r>
  <r>
    <s v="ORD200422"/>
    <d v="2023-06-05T00:00:00"/>
    <s v="C76140"/>
    <x v="1"/>
    <n v="4"/>
    <n v="206.6"/>
    <s v="914 Main St"/>
    <s v="Gift Card"/>
    <x v="2"/>
    <s v="TRK25861469"/>
    <n v="6"/>
    <s v="WINTER15"/>
    <s v="Referral"/>
    <n v="826.4"/>
  </r>
  <r>
    <s v="ORD200423"/>
    <d v="2024-07-20T00:00:00"/>
    <s v="C94311"/>
    <x v="4"/>
    <n v="4"/>
    <n v="685.2"/>
    <s v="195 Main St"/>
    <s v="Gift Card"/>
    <x v="1"/>
    <s v="TRK97308771"/>
    <n v="6"/>
    <s v="WINTER15"/>
    <s v="Google"/>
    <n v="2740.8"/>
  </r>
  <r>
    <s v="ORD200424"/>
    <d v="2023-04-12T00:00:00"/>
    <s v="C49491"/>
    <x v="3"/>
    <n v="5"/>
    <n v="22.94"/>
    <s v="339 Main St"/>
    <s v="Cash"/>
    <x v="4"/>
    <s v="TRK64012257"/>
    <n v="10"/>
    <s v="No COUPON"/>
    <s v="Email"/>
    <n v="114.7"/>
  </r>
  <r>
    <s v="ORD200425"/>
    <d v="2023-03-09T00:00:00"/>
    <s v="C40648"/>
    <x v="5"/>
    <n v="2"/>
    <n v="301.88"/>
    <s v="488 Main St"/>
    <s v="Gift Card"/>
    <x v="2"/>
    <s v="TRK25325993"/>
    <n v="5"/>
    <s v="WINTER15"/>
    <s v="Email"/>
    <n v="603.76"/>
  </r>
  <r>
    <s v="ORD200426"/>
    <d v="2025-03-16T00:00:00"/>
    <s v="C40967"/>
    <x v="0"/>
    <n v="5"/>
    <n v="57.45"/>
    <s v="315 Main St"/>
    <s v="Cash"/>
    <x v="1"/>
    <s v="TRK24839296"/>
    <n v="10"/>
    <s v="No COUPON"/>
    <s v="Facebook"/>
    <n v="287.25"/>
  </r>
  <r>
    <s v="ORD200427"/>
    <d v="2024-12-18T00:00:00"/>
    <s v="C25406"/>
    <x v="6"/>
    <n v="1"/>
    <n v="161.24"/>
    <s v="379 Main St"/>
    <s v="Credit Card"/>
    <x v="4"/>
    <s v="TRK70952564"/>
    <n v="3"/>
    <s v="WINTER15"/>
    <s v="Instagram"/>
    <n v="161.24"/>
  </r>
  <r>
    <s v="ORD200428"/>
    <d v="2024-11-26T00:00:00"/>
    <s v="C77085"/>
    <x v="3"/>
    <n v="4"/>
    <n v="262.58"/>
    <s v="895 Main St"/>
    <s v="Online"/>
    <x v="1"/>
    <s v="TRK57227640"/>
    <n v="8"/>
    <s v="WINTER15"/>
    <s v="Email"/>
    <n v="1050.32"/>
  </r>
  <r>
    <s v="ORD200429"/>
    <d v="2024-12-19T00:00:00"/>
    <s v="C38126"/>
    <x v="4"/>
    <n v="4"/>
    <n v="515.19000000000005"/>
    <s v="522 Main St"/>
    <s v="Credit Card"/>
    <x v="4"/>
    <s v="TRK90838498"/>
    <n v="9"/>
    <s v="SAVE10"/>
    <s v="Facebook"/>
    <n v="2060.7600000000002"/>
  </r>
  <r>
    <s v="ORD200430"/>
    <d v="2023-06-07T00:00:00"/>
    <s v="C87448"/>
    <x v="1"/>
    <n v="1"/>
    <n v="450.07"/>
    <s v="433 Main St"/>
    <s v="Gift Card"/>
    <x v="0"/>
    <s v="TRK44134016"/>
    <n v="6"/>
    <s v="FREESHIP"/>
    <s v="Google"/>
    <n v="450.07"/>
  </r>
  <r>
    <s v="ORD200431"/>
    <d v="2024-10-06T00:00:00"/>
    <s v="C62312"/>
    <x v="4"/>
    <n v="1"/>
    <n v="52.54"/>
    <s v="651 Main St"/>
    <s v="Debit Card"/>
    <x v="1"/>
    <s v="TRK59623037"/>
    <n v="6"/>
    <s v="WINTER15"/>
    <s v="Facebook"/>
    <n v="52.54"/>
  </r>
  <r>
    <s v="ORD200432"/>
    <d v="2023-09-04T00:00:00"/>
    <s v="C58443"/>
    <x v="2"/>
    <n v="2"/>
    <n v="424.32"/>
    <s v="662 Main St"/>
    <s v="Credit Card"/>
    <x v="2"/>
    <s v="TRK77163738"/>
    <n v="6"/>
    <s v="No COUPON"/>
    <s v="Referral"/>
    <n v="848.64"/>
  </r>
  <r>
    <s v="ORD200433"/>
    <d v="2023-08-26T00:00:00"/>
    <s v="C36613"/>
    <x v="0"/>
    <n v="3"/>
    <n v="631.64"/>
    <s v="785 Main St"/>
    <s v="Credit Card"/>
    <x v="2"/>
    <s v="TRK13282106"/>
    <n v="3"/>
    <s v="FREESHIP"/>
    <s v="Facebook"/>
    <n v="1894.92"/>
  </r>
  <r>
    <s v="ORD200434"/>
    <d v="2023-10-22T00:00:00"/>
    <s v="C73893"/>
    <x v="4"/>
    <n v="5"/>
    <n v="327.68"/>
    <s v="384 Main St"/>
    <s v="Credit Card"/>
    <x v="2"/>
    <s v="TRK85939879"/>
    <n v="6"/>
    <s v="No COUPON"/>
    <s v="Facebook"/>
    <n v="1638.4"/>
  </r>
  <r>
    <s v="ORD200435"/>
    <d v="2023-05-27T00:00:00"/>
    <s v="C48601"/>
    <x v="4"/>
    <n v="1"/>
    <n v="414.47"/>
    <s v="101 Main St"/>
    <s v="Debit Card"/>
    <x v="2"/>
    <s v="TRK97868309"/>
    <n v="3"/>
    <s v="FREESHIP"/>
    <s v="Instagram"/>
    <n v="414.47"/>
  </r>
  <r>
    <s v="ORD200436"/>
    <d v="2023-02-11T00:00:00"/>
    <s v="C14568"/>
    <x v="5"/>
    <n v="4"/>
    <n v="221.33"/>
    <s v="651 Main St"/>
    <s v="Online"/>
    <x v="4"/>
    <s v="TRK73545796"/>
    <n v="5"/>
    <s v="No COUPON"/>
    <s v="Google"/>
    <n v="885.32"/>
  </r>
  <r>
    <s v="ORD200437"/>
    <d v="2024-04-18T00:00:00"/>
    <s v="C63378"/>
    <x v="1"/>
    <n v="1"/>
    <n v="512.39"/>
    <s v="955 Main St"/>
    <s v="Online"/>
    <x v="3"/>
    <s v="TRK20863705"/>
    <n v="2"/>
    <s v="FREESHIP"/>
    <s v="Instagram"/>
    <n v="512.39"/>
  </r>
  <r>
    <s v="ORD200438"/>
    <d v="2025-01-03T00:00:00"/>
    <s v="C77800"/>
    <x v="2"/>
    <n v="3"/>
    <n v="459.34"/>
    <s v="436 Main St"/>
    <s v="Gift Card"/>
    <x v="4"/>
    <s v="TRK27439574"/>
    <n v="3"/>
    <s v="SAVE10"/>
    <s v="Instagram"/>
    <n v="1378.02"/>
  </r>
  <r>
    <s v="ORD200439"/>
    <d v="2024-09-08T00:00:00"/>
    <s v="C91155"/>
    <x v="2"/>
    <n v="1"/>
    <n v="146.32"/>
    <s v="321 Main St"/>
    <s v="Online"/>
    <x v="0"/>
    <s v="TRK36260319"/>
    <n v="4"/>
    <s v="WINTER15"/>
    <s v="Facebook"/>
    <n v="146.32"/>
  </r>
  <r>
    <s v="ORD200440"/>
    <d v="2024-11-05T00:00:00"/>
    <s v="C60215"/>
    <x v="6"/>
    <n v="4"/>
    <n v="83.6"/>
    <s v="978 Main St"/>
    <s v="Debit Card"/>
    <x v="4"/>
    <s v="TRK31727767"/>
    <n v="4"/>
    <s v="SAVE10"/>
    <s v="Facebook"/>
    <n v="334.4"/>
  </r>
  <r>
    <s v="ORD200441"/>
    <d v="2023-12-13T00:00:00"/>
    <s v="C52915"/>
    <x v="4"/>
    <n v="2"/>
    <n v="328.54"/>
    <s v="475 Main St"/>
    <s v="Gift Card"/>
    <x v="2"/>
    <s v="TRK79466982"/>
    <n v="6"/>
    <s v="FREESHIP"/>
    <s v="Email"/>
    <n v="657.08"/>
  </r>
  <r>
    <s v="ORD200442"/>
    <d v="2024-05-06T00:00:00"/>
    <s v="C72588"/>
    <x v="3"/>
    <n v="5"/>
    <n v="314.94"/>
    <s v="661 Main St"/>
    <s v="Cash"/>
    <x v="4"/>
    <s v="TRK43410829"/>
    <n v="8"/>
    <s v="SAVE10"/>
    <s v="Instagram"/>
    <n v="1574.7"/>
  </r>
  <r>
    <s v="ORD200443"/>
    <d v="2024-05-14T00:00:00"/>
    <s v="C61668"/>
    <x v="3"/>
    <n v="2"/>
    <n v="69.64"/>
    <s v="813 Main St"/>
    <s v="Cash"/>
    <x v="2"/>
    <s v="TRK58970302"/>
    <n v="6"/>
    <s v="No COUPON"/>
    <s v="Facebook"/>
    <n v="139.28"/>
  </r>
  <r>
    <s v="ORD200444"/>
    <d v="2024-06-08T00:00:00"/>
    <s v="C79508"/>
    <x v="4"/>
    <n v="1"/>
    <n v="135.16999999999999"/>
    <s v="585 Main St"/>
    <s v="Online"/>
    <x v="0"/>
    <s v="TRK61882353"/>
    <n v="6"/>
    <s v="FREESHIP"/>
    <s v="Instagram"/>
    <n v="135.16999999999999"/>
  </r>
  <r>
    <s v="ORD200445"/>
    <d v="2024-03-23T00:00:00"/>
    <s v="C94569"/>
    <x v="1"/>
    <n v="1"/>
    <n v="487.21"/>
    <s v="227 Main St"/>
    <s v="Cash"/>
    <x v="3"/>
    <s v="TRK31351770"/>
    <n v="3"/>
    <s v="SAVE10"/>
    <s v="Referral"/>
    <n v="487.21"/>
  </r>
  <r>
    <s v="ORD200446"/>
    <d v="2023-10-18T00:00:00"/>
    <s v="C89592"/>
    <x v="5"/>
    <n v="5"/>
    <n v="509.58"/>
    <s v="262 Main St"/>
    <s v="Online"/>
    <x v="3"/>
    <s v="TRK49442402"/>
    <n v="6"/>
    <s v="FREESHIP"/>
    <s v="Instagram"/>
    <n v="2547.9"/>
  </r>
  <r>
    <s v="ORD200447"/>
    <d v="2024-04-07T00:00:00"/>
    <s v="C48207"/>
    <x v="4"/>
    <n v="2"/>
    <n v="416.81"/>
    <s v="356 Main St"/>
    <s v="Cash"/>
    <x v="2"/>
    <s v="TRK45355655"/>
    <n v="2"/>
    <s v="No COUPON"/>
    <s v="Facebook"/>
    <n v="833.62"/>
  </r>
  <r>
    <s v="ORD200448"/>
    <d v="2023-09-04T00:00:00"/>
    <s v="C16776"/>
    <x v="5"/>
    <n v="2"/>
    <n v="160"/>
    <s v="854 Main St"/>
    <s v="Cash"/>
    <x v="4"/>
    <s v="TRK12860600"/>
    <n v="4"/>
    <s v="SAVE10"/>
    <s v="Instagram"/>
    <n v="320"/>
  </r>
  <r>
    <s v="ORD200449"/>
    <d v="2024-08-26T00:00:00"/>
    <s v="C91518"/>
    <x v="2"/>
    <n v="3"/>
    <n v="253.05"/>
    <s v="286 Main St"/>
    <s v="Online"/>
    <x v="4"/>
    <s v="TRK48688724"/>
    <n v="3"/>
    <s v="No COUPON"/>
    <s v="Instagram"/>
    <n v="759.15000000000009"/>
  </r>
  <r>
    <s v="ORD200450"/>
    <d v="2024-01-15T00:00:00"/>
    <s v="C36408"/>
    <x v="0"/>
    <n v="5"/>
    <n v="615.1"/>
    <s v="160 Main St"/>
    <s v="Gift Card"/>
    <x v="2"/>
    <s v="TRK94023253"/>
    <n v="10"/>
    <s v="WINTER15"/>
    <s v="Instagram"/>
    <n v="3075.5"/>
  </r>
  <r>
    <s v="ORD200451"/>
    <d v="2023-04-01T00:00:00"/>
    <s v="C14837"/>
    <x v="0"/>
    <n v="1"/>
    <n v="183.18"/>
    <s v="647 Main St"/>
    <s v="Debit Card"/>
    <x v="1"/>
    <s v="TRK17501136"/>
    <n v="6"/>
    <s v="SAVE10"/>
    <s v="Email"/>
    <n v="183.18"/>
  </r>
  <r>
    <s v="ORD200452"/>
    <d v="2023-07-23T00:00:00"/>
    <s v="C36467"/>
    <x v="4"/>
    <n v="1"/>
    <n v="75.78"/>
    <s v="581 Main St"/>
    <s v="Cash"/>
    <x v="4"/>
    <s v="TRK20863987"/>
    <n v="5"/>
    <s v="SAVE10"/>
    <s v="Google"/>
    <n v="75.78"/>
  </r>
  <r>
    <s v="ORD200453"/>
    <d v="2025-05-02T00:00:00"/>
    <s v="C15017"/>
    <x v="2"/>
    <n v="1"/>
    <n v="675.57"/>
    <s v="492 Main St"/>
    <s v="Cash"/>
    <x v="0"/>
    <s v="TRK51241924"/>
    <n v="1"/>
    <s v="WINTER15"/>
    <s v="Facebook"/>
    <n v="675.57"/>
  </r>
  <r>
    <s v="ORD200454"/>
    <d v="2024-11-27T00:00:00"/>
    <s v="C54759"/>
    <x v="5"/>
    <n v="1"/>
    <n v="109.29"/>
    <s v="686 Main St"/>
    <s v="Debit Card"/>
    <x v="1"/>
    <s v="TRK75583042"/>
    <n v="5"/>
    <s v="FREESHIP"/>
    <s v="Google"/>
    <n v="109.29"/>
  </r>
  <r>
    <s v="ORD200455"/>
    <d v="2024-03-26T00:00:00"/>
    <s v="C58341"/>
    <x v="1"/>
    <n v="1"/>
    <n v="639.83000000000004"/>
    <s v="874 Main St"/>
    <s v="Debit Card"/>
    <x v="4"/>
    <s v="TRK32856728"/>
    <n v="2"/>
    <s v="SAVE10"/>
    <s v="Referral"/>
    <n v="639.83000000000004"/>
  </r>
  <r>
    <s v="ORD200456"/>
    <d v="2023-06-26T00:00:00"/>
    <s v="C94479"/>
    <x v="6"/>
    <n v="5"/>
    <n v="62.81"/>
    <s v="259 Main St"/>
    <s v="Credit Card"/>
    <x v="0"/>
    <s v="TRK69089975"/>
    <n v="9"/>
    <s v="SAVE10"/>
    <s v="Facebook"/>
    <n v="314.05"/>
  </r>
  <r>
    <s v="ORD200457"/>
    <d v="2025-05-25T00:00:00"/>
    <s v="C50236"/>
    <x v="6"/>
    <n v="4"/>
    <n v="615.83000000000004"/>
    <s v="545 Main St"/>
    <s v="Online"/>
    <x v="2"/>
    <s v="TRK67692578"/>
    <n v="4"/>
    <s v="WINTER15"/>
    <s v="Instagram"/>
    <n v="2463.3200000000002"/>
  </r>
  <r>
    <s v="ORD200458"/>
    <d v="2024-07-02T00:00:00"/>
    <s v="C31412"/>
    <x v="0"/>
    <n v="4"/>
    <n v="510.58"/>
    <s v="196 Main St"/>
    <s v="Credit Card"/>
    <x v="2"/>
    <s v="TRK61946127"/>
    <n v="7"/>
    <s v="WINTER15"/>
    <s v="Email"/>
    <n v="2042.32"/>
  </r>
  <r>
    <s v="ORD200459"/>
    <d v="2024-07-24T00:00:00"/>
    <s v="C90142"/>
    <x v="6"/>
    <n v="1"/>
    <n v="334.39"/>
    <s v="433 Main St"/>
    <s v="Credit Card"/>
    <x v="2"/>
    <s v="TRK39717191"/>
    <n v="2"/>
    <s v="No COUPON"/>
    <s v="Instagram"/>
    <n v="334.39"/>
  </r>
  <r>
    <s v="ORD200460"/>
    <d v="2024-10-06T00:00:00"/>
    <s v="C83548"/>
    <x v="5"/>
    <n v="1"/>
    <n v="144.25"/>
    <s v="474 Main St"/>
    <s v="Cash"/>
    <x v="2"/>
    <s v="TRK93822942"/>
    <n v="2"/>
    <s v="WINTER15"/>
    <s v="Referral"/>
    <n v="144.25"/>
  </r>
  <r>
    <s v="ORD200461"/>
    <d v="2024-06-08T00:00:00"/>
    <s v="C29697"/>
    <x v="2"/>
    <n v="1"/>
    <n v="401.82"/>
    <s v="407 Main St"/>
    <s v="Credit Card"/>
    <x v="0"/>
    <s v="TRK47776482"/>
    <n v="5"/>
    <s v="FREESHIP"/>
    <s v="Google"/>
    <n v="401.82"/>
  </r>
  <r>
    <s v="ORD200462"/>
    <d v="2025-03-31T00:00:00"/>
    <s v="C22991"/>
    <x v="1"/>
    <n v="1"/>
    <n v="252.68"/>
    <s v="731 Main St"/>
    <s v="Online"/>
    <x v="1"/>
    <s v="TRK32796086"/>
    <n v="1"/>
    <s v="No COUPON"/>
    <s v="Referral"/>
    <n v="252.68"/>
  </r>
  <r>
    <s v="ORD200463"/>
    <d v="2023-05-26T00:00:00"/>
    <s v="C25276"/>
    <x v="5"/>
    <n v="5"/>
    <n v="662.78"/>
    <s v="214 Main St"/>
    <s v="Debit Card"/>
    <x v="0"/>
    <s v="TRK14011732"/>
    <n v="9"/>
    <s v="SAVE10"/>
    <s v="Instagram"/>
    <n v="3313.9"/>
  </r>
  <r>
    <s v="ORD200464"/>
    <d v="2023-03-14T00:00:00"/>
    <s v="C39176"/>
    <x v="2"/>
    <n v="4"/>
    <n v="434.42"/>
    <s v="739 Main St"/>
    <s v="Online"/>
    <x v="1"/>
    <s v="TRK71418686"/>
    <n v="6"/>
    <s v="FREESHIP"/>
    <s v="Google"/>
    <n v="1737.68"/>
  </r>
  <r>
    <s v="ORD200465"/>
    <d v="2024-02-26T00:00:00"/>
    <s v="C58773"/>
    <x v="4"/>
    <n v="5"/>
    <n v="513.49"/>
    <s v="391 Main St"/>
    <s v="Gift Card"/>
    <x v="1"/>
    <s v="TRK65438300"/>
    <n v="8"/>
    <s v="No COUPON"/>
    <s v="Google"/>
    <n v="2567.4499999999998"/>
  </r>
  <r>
    <s v="ORD200466"/>
    <d v="2023-07-18T00:00:00"/>
    <s v="C37412"/>
    <x v="1"/>
    <n v="1"/>
    <n v="432.47"/>
    <s v="895 Main St"/>
    <s v="Cash"/>
    <x v="3"/>
    <s v="TRK97829604"/>
    <n v="4"/>
    <s v="FREESHIP"/>
    <s v="Referral"/>
    <n v="432.47"/>
  </r>
  <r>
    <s v="ORD200467"/>
    <d v="2024-08-30T00:00:00"/>
    <s v="C36492"/>
    <x v="6"/>
    <n v="1"/>
    <n v="45.94"/>
    <s v="572 Main St"/>
    <s v="Cash"/>
    <x v="1"/>
    <s v="TRK44350440"/>
    <n v="2"/>
    <s v="WINTER15"/>
    <s v="Email"/>
    <n v="45.94"/>
  </r>
  <r>
    <s v="ORD200468"/>
    <d v="2025-06-21T00:00:00"/>
    <s v="C90110"/>
    <x v="1"/>
    <n v="1"/>
    <n v="418.36"/>
    <s v="998 Main St"/>
    <s v="Credit Card"/>
    <x v="3"/>
    <s v="TRK60203957"/>
    <n v="5"/>
    <s v="FREESHIP"/>
    <s v="Email"/>
    <n v="418.36"/>
  </r>
  <r>
    <s v="ORD200469"/>
    <d v="2023-11-26T00:00:00"/>
    <s v="C13877"/>
    <x v="3"/>
    <n v="5"/>
    <n v="676.98"/>
    <s v="893 Main St"/>
    <s v="Cash"/>
    <x v="1"/>
    <s v="TRK17254691"/>
    <n v="5"/>
    <s v="No COUPON"/>
    <s v="Facebook"/>
    <n v="3384.9"/>
  </r>
  <r>
    <s v="ORD200470"/>
    <d v="2023-09-29T00:00:00"/>
    <s v="C25149"/>
    <x v="2"/>
    <n v="4"/>
    <n v="263.62"/>
    <s v="672 Main St"/>
    <s v="Cash"/>
    <x v="0"/>
    <s v="TRK33538608"/>
    <n v="5"/>
    <s v="SAVE10"/>
    <s v="Email"/>
    <n v="1054.48"/>
  </r>
  <r>
    <s v="ORD200471"/>
    <d v="2025-04-19T00:00:00"/>
    <s v="C52717"/>
    <x v="6"/>
    <n v="5"/>
    <n v="551.27"/>
    <s v="395 Main St"/>
    <s v="Online"/>
    <x v="1"/>
    <s v="TRK27625571"/>
    <n v="7"/>
    <s v="FREESHIP"/>
    <s v="Referral"/>
    <n v="2756.35"/>
  </r>
  <r>
    <s v="ORD200472"/>
    <d v="2023-01-06T00:00:00"/>
    <s v="C60029"/>
    <x v="3"/>
    <n v="3"/>
    <n v="508.12"/>
    <s v="796 Main St"/>
    <s v="Credit Card"/>
    <x v="1"/>
    <s v="TRK86461316"/>
    <n v="8"/>
    <s v="FREESHIP"/>
    <s v="Referral"/>
    <n v="1524.36"/>
  </r>
  <r>
    <s v="ORD200473"/>
    <d v="2025-02-25T00:00:00"/>
    <s v="C28552"/>
    <x v="3"/>
    <n v="2"/>
    <n v="14.93"/>
    <s v="449 Main St"/>
    <s v="Online"/>
    <x v="0"/>
    <s v="TRK71597160"/>
    <n v="4"/>
    <s v="No COUPON"/>
    <s v="Facebook"/>
    <n v="29.86"/>
  </r>
  <r>
    <s v="ORD200474"/>
    <d v="2023-11-15T00:00:00"/>
    <s v="C72293"/>
    <x v="4"/>
    <n v="3"/>
    <n v="229.34"/>
    <s v="398 Main St"/>
    <s v="Credit Card"/>
    <x v="0"/>
    <s v="TRK84378003"/>
    <n v="6"/>
    <s v="SAVE10"/>
    <s v="Referral"/>
    <n v="688.02"/>
  </r>
  <r>
    <s v="ORD200475"/>
    <d v="2025-04-19T00:00:00"/>
    <s v="C29844"/>
    <x v="2"/>
    <n v="2"/>
    <n v="438.62"/>
    <s v="363 Main St"/>
    <s v="Cash"/>
    <x v="1"/>
    <s v="TRK91642337"/>
    <n v="3"/>
    <s v="SAVE10"/>
    <s v="Facebook"/>
    <n v="877.24"/>
  </r>
  <r>
    <s v="ORD200476"/>
    <d v="2024-01-15T00:00:00"/>
    <s v="C77872"/>
    <x v="1"/>
    <n v="2"/>
    <n v="513.59"/>
    <s v="867 Main St"/>
    <s v="Online"/>
    <x v="2"/>
    <s v="TRK19292184"/>
    <n v="4"/>
    <s v="FREESHIP"/>
    <s v="Referral"/>
    <n v="1027.18"/>
  </r>
  <r>
    <s v="ORD200477"/>
    <d v="2025-03-05T00:00:00"/>
    <s v="C56564"/>
    <x v="1"/>
    <n v="2"/>
    <n v="253.74"/>
    <s v="481 Main St"/>
    <s v="Online"/>
    <x v="0"/>
    <s v="TRK13166044"/>
    <n v="5"/>
    <s v="SAVE10"/>
    <s v="Google"/>
    <n v="507.48"/>
  </r>
  <r>
    <s v="ORD200478"/>
    <d v="2024-11-01T00:00:00"/>
    <s v="C16758"/>
    <x v="2"/>
    <n v="3"/>
    <n v="62.77"/>
    <s v="914 Main St"/>
    <s v="Gift Card"/>
    <x v="0"/>
    <s v="TRK88544431"/>
    <n v="6"/>
    <s v="FREESHIP"/>
    <s v="Referral"/>
    <n v="188.31"/>
  </r>
  <r>
    <s v="ORD200479"/>
    <d v="2023-02-18T00:00:00"/>
    <s v="C87011"/>
    <x v="0"/>
    <n v="4"/>
    <n v="25.29"/>
    <s v="943 Main St"/>
    <s v="Credit Card"/>
    <x v="4"/>
    <s v="TRK21429162"/>
    <n v="8"/>
    <s v="No COUPON"/>
    <s v="Google"/>
    <n v="101.16"/>
  </r>
  <r>
    <s v="ORD200480"/>
    <d v="2023-06-16T00:00:00"/>
    <s v="C21147"/>
    <x v="3"/>
    <n v="1"/>
    <n v="335.1"/>
    <s v="126 Main St"/>
    <s v="Debit Card"/>
    <x v="4"/>
    <s v="TRK93171043"/>
    <n v="6"/>
    <s v="FREESHIP"/>
    <s v="Referral"/>
    <n v="335.1"/>
  </r>
  <r>
    <s v="ORD200481"/>
    <d v="2023-04-23T00:00:00"/>
    <s v="C94568"/>
    <x v="5"/>
    <n v="4"/>
    <n v="484.85"/>
    <s v="317 Main St"/>
    <s v="Debit Card"/>
    <x v="3"/>
    <s v="TRK58653915"/>
    <n v="5"/>
    <s v="WINTER15"/>
    <s v="Referral"/>
    <n v="1939.4"/>
  </r>
  <r>
    <s v="ORD200482"/>
    <d v="2025-03-02T00:00:00"/>
    <s v="C35852"/>
    <x v="0"/>
    <n v="3"/>
    <n v="381.41"/>
    <s v="989 Main St"/>
    <s v="Online"/>
    <x v="4"/>
    <s v="TRK22302049"/>
    <n v="6"/>
    <s v="No COUPON"/>
    <s v="Instagram"/>
    <n v="1144.23"/>
  </r>
  <r>
    <s v="ORD200483"/>
    <d v="2023-01-18T00:00:00"/>
    <s v="C66462"/>
    <x v="1"/>
    <n v="5"/>
    <n v="347.92"/>
    <s v="982 Main St"/>
    <s v="Cash"/>
    <x v="4"/>
    <s v="TRK52743700"/>
    <n v="6"/>
    <s v="WINTER15"/>
    <s v="Google"/>
    <n v="1739.6"/>
  </r>
  <r>
    <s v="ORD200484"/>
    <d v="2024-05-29T00:00:00"/>
    <s v="C29092"/>
    <x v="3"/>
    <n v="4"/>
    <n v="15.01"/>
    <s v="767 Main St"/>
    <s v="Cash"/>
    <x v="1"/>
    <s v="TRK90455340"/>
    <n v="6"/>
    <s v="No COUPON"/>
    <s v="Facebook"/>
    <n v="60.04"/>
  </r>
  <r>
    <s v="ORD200485"/>
    <d v="2023-08-01T00:00:00"/>
    <s v="C46651"/>
    <x v="3"/>
    <n v="3"/>
    <n v="404.79"/>
    <s v="764 Main St"/>
    <s v="Cash"/>
    <x v="0"/>
    <s v="TRK67679195"/>
    <n v="6"/>
    <s v="SAVE10"/>
    <s v="Instagram"/>
    <n v="1214.3699999999999"/>
  </r>
  <r>
    <s v="ORD200486"/>
    <d v="2023-02-03T00:00:00"/>
    <s v="C88981"/>
    <x v="4"/>
    <n v="4"/>
    <n v="611.26"/>
    <s v="558 Main St"/>
    <s v="Cash"/>
    <x v="0"/>
    <s v="TRK75267873"/>
    <n v="5"/>
    <s v="SAVE10"/>
    <s v="Referral"/>
    <n v="2445.04"/>
  </r>
  <r>
    <s v="ORD200487"/>
    <d v="2023-03-09T00:00:00"/>
    <s v="C40136"/>
    <x v="4"/>
    <n v="3"/>
    <n v="346.52"/>
    <s v="211 Main St"/>
    <s v="Credit Card"/>
    <x v="4"/>
    <s v="TRK92924852"/>
    <n v="3"/>
    <s v="SAVE10"/>
    <s v="Google"/>
    <n v="1039.56"/>
  </r>
  <r>
    <s v="ORD200488"/>
    <d v="2024-12-05T00:00:00"/>
    <s v="C81573"/>
    <x v="3"/>
    <n v="1"/>
    <n v="36.65"/>
    <s v="556 Main St"/>
    <s v="Online"/>
    <x v="1"/>
    <s v="TRK96522994"/>
    <n v="1"/>
    <s v="WINTER15"/>
    <s v="Email"/>
    <n v="36.65"/>
  </r>
  <r>
    <s v="ORD200489"/>
    <d v="2023-09-05T00:00:00"/>
    <s v="C11940"/>
    <x v="2"/>
    <n v="3"/>
    <n v="149.34"/>
    <s v="589 Main St"/>
    <s v="Gift Card"/>
    <x v="1"/>
    <s v="TRK85466461"/>
    <n v="7"/>
    <s v="WINTER15"/>
    <s v="Email"/>
    <n v="448.02"/>
  </r>
  <r>
    <s v="ORD200490"/>
    <d v="2024-07-22T00:00:00"/>
    <s v="C50097"/>
    <x v="3"/>
    <n v="5"/>
    <n v="467.81"/>
    <s v="539 Main St"/>
    <s v="Online"/>
    <x v="1"/>
    <s v="TRK62785150"/>
    <n v="10"/>
    <s v="No COUPON"/>
    <s v="Facebook"/>
    <n v="2339.0500000000002"/>
  </r>
  <r>
    <s v="ORD200491"/>
    <d v="2023-01-05T00:00:00"/>
    <s v="C98168"/>
    <x v="1"/>
    <n v="5"/>
    <n v="420.7"/>
    <s v="481 Main St"/>
    <s v="Cash"/>
    <x v="4"/>
    <s v="TRK56423359"/>
    <n v="5"/>
    <s v="WINTER15"/>
    <s v="Facebook"/>
    <n v="2103.5"/>
  </r>
  <r>
    <s v="ORD200492"/>
    <d v="2023-10-25T00:00:00"/>
    <s v="C39074"/>
    <x v="5"/>
    <n v="5"/>
    <n v="606.52"/>
    <s v="103 Main St"/>
    <s v="Debit Card"/>
    <x v="0"/>
    <s v="TRK13027036"/>
    <n v="6"/>
    <s v="SAVE10"/>
    <s v="Instagram"/>
    <n v="3032.6"/>
  </r>
  <r>
    <s v="ORD200493"/>
    <d v="2025-01-28T00:00:00"/>
    <s v="C84908"/>
    <x v="1"/>
    <n v="1"/>
    <n v="420.26"/>
    <s v="372 Main St"/>
    <s v="Credit Card"/>
    <x v="4"/>
    <s v="TRK64135970"/>
    <n v="4"/>
    <s v="FREESHIP"/>
    <s v="Facebook"/>
    <n v="420.26"/>
  </r>
  <r>
    <s v="ORD200494"/>
    <d v="2023-07-19T00:00:00"/>
    <s v="C64516"/>
    <x v="5"/>
    <n v="3"/>
    <n v="505.79"/>
    <s v="459 Main St"/>
    <s v="Debit Card"/>
    <x v="4"/>
    <s v="TRK63920573"/>
    <n v="3"/>
    <s v="FREESHIP"/>
    <s v="Referral"/>
    <n v="1517.37"/>
  </r>
  <r>
    <s v="ORD200495"/>
    <d v="2025-06-05T00:00:00"/>
    <s v="C63827"/>
    <x v="1"/>
    <n v="4"/>
    <n v="493.73"/>
    <s v="947 Main St"/>
    <s v="Debit Card"/>
    <x v="4"/>
    <s v="TRK35730581"/>
    <n v="6"/>
    <s v="SAVE10"/>
    <s v="Facebook"/>
    <n v="1974.92"/>
  </r>
  <r>
    <s v="ORD200496"/>
    <d v="2025-03-14T00:00:00"/>
    <s v="C93618"/>
    <x v="4"/>
    <n v="3"/>
    <n v="201.21"/>
    <s v="249 Main St"/>
    <s v="Online"/>
    <x v="1"/>
    <s v="TRK66129326"/>
    <n v="3"/>
    <s v="SAVE10"/>
    <s v="Google"/>
    <n v="603.63"/>
  </r>
  <r>
    <s v="ORD200497"/>
    <d v="2024-10-24T00:00:00"/>
    <s v="C93948"/>
    <x v="4"/>
    <n v="3"/>
    <n v="112.29"/>
    <s v="454 Main St"/>
    <s v="Gift Card"/>
    <x v="0"/>
    <s v="TRK77358113"/>
    <n v="6"/>
    <s v="No COUPON"/>
    <s v="Google"/>
    <n v="336.87"/>
  </r>
  <r>
    <s v="ORD200498"/>
    <d v="2023-07-12T00:00:00"/>
    <s v="C73961"/>
    <x v="2"/>
    <n v="4"/>
    <n v="132.56"/>
    <s v="306 Main St"/>
    <s v="Cash"/>
    <x v="2"/>
    <s v="TRK32607173"/>
    <n v="8"/>
    <s v="WINTER15"/>
    <s v="Instagram"/>
    <n v="530.24"/>
  </r>
  <r>
    <s v="ORD200499"/>
    <d v="2023-04-06T00:00:00"/>
    <s v="C18138"/>
    <x v="4"/>
    <n v="3"/>
    <n v="539.46"/>
    <s v="520 Main St"/>
    <s v="Credit Card"/>
    <x v="0"/>
    <s v="TRK20289483"/>
    <n v="4"/>
    <s v="SAVE10"/>
    <s v="Facebook"/>
    <n v="1618.38"/>
  </r>
  <r>
    <s v="ORD200500"/>
    <d v="2024-04-07T00:00:00"/>
    <s v="C79475"/>
    <x v="5"/>
    <n v="5"/>
    <n v="508.59"/>
    <s v="169 Main St"/>
    <s v="Cash"/>
    <x v="2"/>
    <s v="TRK42168516"/>
    <n v="8"/>
    <s v="WINTER15"/>
    <s v="Facebook"/>
    <n v="2542.9499999999998"/>
  </r>
  <r>
    <s v="ORD200501"/>
    <d v="2024-02-04T00:00:00"/>
    <s v="C88546"/>
    <x v="6"/>
    <n v="4"/>
    <n v="203.46"/>
    <s v="226 Main St"/>
    <s v="Credit Card"/>
    <x v="4"/>
    <s v="TRK19867754"/>
    <n v="7"/>
    <s v="SAVE10"/>
    <s v="Referral"/>
    <n v="813.84"/>
  </r>
  <r>
    <s v="ORD200502"/>
    <d v="2023-05-20T00:00:00"/>
    <s v="C69332"/>
    <x v="0"/>
    <n v="3"/>
    <n v="565.25"/>
    <s v="745 Main St"/>
    <s v="Debit Card"/>
    <x v="2"/>
    <s v="TRK65718848"/>
    <n v="7"/>
    <s v="SAVE10"/>
    <s v="Email"/>
    <n v="1695.75"/>
  </r>
  <r>
    <s v="ORD200503"/>
    <d v="2023-08-31T00:00:00"/>
    <s v="C64554"/>
    <x v="2"/>
    <n v="3"/>
    <n v="136.84"/>
    <s v="498 Main St"/>
    <s v="Online"/>
    <x v="4"/>
    <s v="TRK95384568"/>
    <n v="4"/>
    <s v="FREESHIP"/>
    <s v="Facebook"/>
    <n v="410.52"/>
  </r>
  <r>
    <s v="ORD200504"/>
    <d v="2025-06-11T00:00:00"/>
    <s v="C11676"/>
    <x v="0"/>
    <n v="2"/>
    <n v="464.5"/>
    <s v="805 Main St"/>
    <s v="Online"/>
    <x v="1"/>
    <s v="TRK35726395"/>
    <n v="2"/>
    <s v="WINTER15"/>
    <s v="Instagram"/>
    <n v="929"/>
  </r>
  <r>
    <s v="ORD200505"/>
    <d v="2023-06-11T00:00:00"/>
    <s v="C36014"/>
    <x v="4"/>
    <n v="2"/>
    <n v="434.97"/>
    <s v="558 Main St"/>
    <s v="Online"/>
    <x v="0"/>
    <s v="TRK97246526"/>
    <n v="7"/>
    <s v="No COUPON"/>
    <s v="Email"/>
    <n v="869.94"/>
  </r>
  <r>
    <s v="ORD200506"/>
    <d v="2023-07-25T00:00:00"/>
    <s v="C23279"/>
    <x v="0"/>
    <n v="2"/>
    <n v="43.67"/>
    <s v="696 Main St"/>
    <s v="Cash"/>
    <x v="2"/>
    <s v="TRK58039693"/>
    <n v="4"/>
    <s v="WINTER15"/>
    <s v="Instagram"/>
    <n v="87.34"/>
  </r>
  <r>
    <s v="ORD200507"/>
    <d v="2023-07-05T00:00:00"/>
    <s v="C86481"/>
    <x v="1"/>
    <n v="1"/>
    <n v="171.59"/>
    <s v="546 Main St"/>
    <s v="Credit Card"/>
    <x v="4"/>
    <s v="TRK87513944"/>
    <n v="5"/>
    <s v="WINTER15"/>
    <s v="Email"/>
    <n v="171.59"/>
  </r>
  <r>
    <s v="ORD200508"/>
    <d v="2025-05-14T00:00:00"/>
    <s v="C39550"/>
    <x v="1"/>
    <n v="1"/>
    <n v="558.27"/>
    <s v="976 Main St"/>
    <s v="Online"/>
    <x v="3"/>
    <s v="TRK24120267"/>
    <n v="1"/>
    <s v="No COUPON"/>
    <s v="Referral"/>
    <n v="558.27"/>
  </r>
  <r>
    <s v="ORD200509"/>
    <d v="2023-02-15T00:00:00"/>
    <s v="C68937"/>
    <x v="5"/>
    <n v="2"/>
    <n v="425.03"/>
    <s v="560 Main St"/>
    <s v="Cash"/>
    <x v="2"/>
    <s v="TRK31908657"/>
    <n v="2"/>
    <s v="WINTER15"/>
    <s v="Google"/>
    <n v="850.06"/>
  </r>
  <r>
    <s v="ORD200510"/>
    <d v="2024-12-16T00:00:00"/>
    <s v="C72533"/>
    <x v="4"/>
    <n v="1"/>
    <n v="376.76"/>
    <s v="389 Main St"/>
    <s v="Debit Card"/>
    <x v="3"/>
    <s v="TRK51288986"/>
    <n v="5"/>
    <s v="SAVE10"/>
    <s v="Email"/>
    <n v="376.76"/>
  </r>
  <r>
    <s v="ORD200511"/>
    <d v="2024-03-15T00:00:00"/>
    <s v="C11415"/>
    <x v="0"/>
    <n v="5"/>
    <n v="575.24"/>
    <s v="267 Main St"/>
    <s v="Cash"/>
    <x v="3"/>
    <s v="TRK65061457"/>
    <n v="7"/>
    <s v="WINTER15"/>
    <s v="Email"/>
    <n v="2876.2"/>
  </r>
  <r>
    <s v="ORD200512"/>
    <d v="2024-09-27T00:00:00"/>
    <s v="C14114"/>
    <x v="6"/>
    <n v="3"/>
    <n v="568.02"/>
    <s v="856 Main St"/>
    <s v="Online"/>
    <x v="4"/>
    <s v="TRK63290700"/>
    <n v="3"/>
    <s v="FREESHIP"/>
    <s v="Instagram"/>
    <n v="1704.06"/>
  </r>
  <r>
    <s v="ORD200513"/>
    <d v="2025-02-09T00:00:00"/>
    <s v="C64128"/>
    <x v="2"/>
    <n v="3"/>
    <n v="94.88"/>
    <s v="533 Main St"/>
    <s v="Gift Card"/>
    <x v="0"/>
    <s v="TRK37053575"/>
    <n v="8"/>
    <s v="No COUPON"/>
    <s v="Referral"/>
    <n v="284.64"/>
  </r>
  <r>
    <s v="ORD200514"/>
    <d v="2023-04-16T00:00:00"/>
    <s v="C15629"/>
    <x v="4"/>
    <n v="3"/>
    <n v="304.14999999999998"/>
    <s v="492 Main St"/>
    <s v="Gift Card"/>
    <x v="0"/>
    <s v="TRK64926044"/>
    <n v="3"/>
    <s v="WINTER15"/>
    <s v="Instagram"/>
    <n v="912.44999999999993"/>
  </r>
  <r>
    <s v="ORD200515"/>
    <d v="2023-03-14T00:00:00"/>
    <s v="C67561"/>
    <x v="1"/>
    <n v="3"/>
    <n v="553.52"/>
    <s v="160 Main St"/>
    <s v="Gift Card"/>
    <x v="0"/>
    <s v="TRK75900717"/>
    <n v="4"/>
    <s v="FREESHIP"/>
    <s v="Facebook"/>
    <n v="1660.56"/>
  </r>
  <r>
    <s v="ORD200516"/>
    <d v="2024-04-07T00:00:00"/>
    <s v="C47022"/>
    <x v="0"/>
    <n v="3"/>
    <n v="166.99"/>
    <s v="208 Main St"/>
    <s v="Cash"/>
    <x v="2"/>
    <s v="TRK28855040"/>
    <n v="8"/>
    <s v="No COUPON"/>
    <s v="Facebook"/>
    <n v="500.97"/>
  </r>
  <r>
    <s v="ORD200517"/>
    <d v="2024-04-09T00:00:00"/>
    <s v="C55205"/>
    <x v="2"/>
    <n v="4"/>
    <n v="198.35"/>
    <s v="943 Main St"/>
    <s v="Cash"/>
    <x v="1"/>
    <s v="TRK88141634"/>
    <n v="7"/>
    <s v="FREESHIP"/>
    <s v="Google"/>
    <n v="793.4"/>
  </r>
  <r>
    <s v="ORD200518"/>
    <d v="2025-06-13T00:00:00"/>
    <s v="C30686"/>
    <x v="4"/>
    <n v="4"/>
    <n v="403.58"/>
    <s v="319 Main St"/>
    <s v="Online"/>
    <x v="4"/>
    <s v="TRK59807273"/>
    <n v="9"/>
    <s v="SAVE10"/>
    <s v="Referral"/>
    <n v="1614.32"/>
  </r>
  <r>
    <s v="ORD200519"/>
    <d v="2025-05-10T00:00:00"/>
    <s v="C71797"/>
    <x v="5"/>
    <n v="4"/>
    <n v="464.29"/>
    <s v="941 Main St"/>
    <s v="Debit Card"/>
    <x v="2"/>
    <s v="TRK66010667"/>
    <n v="5"/>
    <s v="SAVE10"/>
    <s v="Email"/>
    <n v="1857.16"/>
  </r>
  <r>
    <s v="ORD200520"/>
    <d v="2023-03-10T00:00:00"/>
    <s v="C66332"/>
    <x v="0"/>
    <n v="3"/>
    <n v="635.98"/>
    <s v="959 Main St"/>
    <s v="Cash"/>
    <x v="2"/>
    <s v="TRK27063398"/>
    <n v="5"/>
    <s v="No COUPON"/>
    <s v="Referral"/>
    <n v="1907.94"/>
  </r>
  <r>
    <s v="ORD200521"/>
    <d v="2024-02-25T00:00:00"/>
    <s v="C82318"/>
    <x v="1"/>
    <n v="1"/>
    <n v="528.05999999999995"/>
    <s v="991 Main St"/>
    <s v="Credit Card"/>
    <x v="0"/>
    <s v="TRK37534165"/>
    <n v="2"/>
    <s v="No COUPON"/>
    <s v="Facebook"/>
    <n v="528.05999999999995"/>
  </r>
  <r>
    <s v="ORD200522"/>
    <d v="2024-04-20T00:00:00"/>
    <s v="C66254"/>
    <x v="3"/>
    <n v="1"/>
    <n v="515.32000000000005"/>
    <s v="740 Main St"/>
    <s v="Gift Card"/>
    <x v="1"/>
    <s v="TRK82843861"/>
    <n v="1"/>
    <s v="FREESHIP"/>
    <s v="Email"/>
    <n v="515.32000000000005"/>
  </r>
  <r>
    <s v="ORD200523"/>
    <d v="2025-02-18T00:00:00"/>
    <s v="C65083"/>
    <x v="6"/>
    <n v="4"/>
    <n v="657.79"/>
    <s v="652 Main St"/>
    <s v="Credit Card"/>
    <x v="2"/>
    <s v="TRK60937148"/>
    <n v="6"/>
    <s v="WINTER15"/>
    <s v="Google"/>
    <n v="2631.16"/>
  </r>
  <r>
    <s v="ORD200524"/>
    <d v="2023-10-25T00:00:00"/>
    <s v="C44778"/>
    <x v="1"/>
    <n v="1"/>
    <n v="153"/>
    <s v="103 Main St"/>
    <s v="Credit Card"/>
    <x v="2"/>
    <s v="TRK92617366"/>
    <n v="4"/>
    <s v="No COUPON"/>
    <s v="Referral"/>
    <n v="153"/>
  </r>
  <r>
    <s v="ORD200525"/>
    <d v="2023-12-03T00:00:00"/>
    <s v="C54499"/>
    <x v="0"/>
    <n v="1"/>
    <n v="668.48"/>
    <s v="160 Main St"/>
    <s v="Debit Card"/>
    <x v="0"/>
    <s v="TRK18061555"/>
    <n v="1"/>
    <s v="SAVE10"/>
    <s v="Email"/>
    <n v="668.48"/>
  </r>
  <r>
    <s v="ORD200526"/>
    <d v="2024-02-29T00:00:00"/>
    <s v="C91201"/>
    <x v="6"/>
    <n v="2"/>
    <n v="46.5"/>
    <s v="837 Main St"/>
    <s v="Cash"/>
    <x v="2"/>
    <s v="TRK63526023"/>
    <n v="7"/>
    <s v="WINTER15"/>
    <s v="Google"/>
    <n v="93"/>
  </r>
  <r>
    <s v="ORD200527"/>
    <d v="2024-08-19T00:00:00"/>
    <s v="C27202"/>
    <x v="3"/>
    <n v="5"/>
    <n v="653.47"/>
    <s v="967 Main St"/>
    <s v="Credit Card"/>
    <x v="1"/>
    <s v="TRK75406128"/>
    <n v="10"/>
    <s v="SAVE10"/>
    <s v="Referral"/>
    <n v="3267.35"/>
  </r>
  <r>
    <s v="ORD200528"/>
    <d v="2025-02-26T00:00:00"/>
    <s v="C32011"/>
    <x v="3"/>
    <n v="1"/>
    <n v="628.89"/>
    <s v="686 Main St"/>
    <s v="Credit Card"/>
    <x v="2"/>
    <s v="TRK70997744"/>
    <n v="2"/>
    <s v="SAVE10"/>
    <s v="Referral"/>
    <n v="628.89"/>
  </r>
  <r>
    <s v="ORD200529"/>
    <d v="2024-04-07T00:00:00"/>
    <s v="C21181"/>
    <x v="2"/>
    <n v="2"/>
    <n v="675.1"/>
    <s v="938 Main St"/>
    <s v="Cash"/>
    <x v="4"/>
    <s v="TRK50363421"/>
    <n v="4"/>
    <s v="FREESHIP"/>
    <s v="Google"/>
    <n v="1350.2"/>
  </r>
  <r>
    <s v="ORD200530"/>
    <d v="2024-07-18T00:00:00"/>
    <s v="C98450"/>
    <x v="3"/>
    <n v="4"/>
    <n v="89.41"/>
    <s v="613 Main St"/>
    <s v="Online"/>
    <x v="4"/>
    <s v="TRK14809530"/>
    <n v="9"/>
    <s v="No COUPON"/>
    <s v="Google"/>
    <n v="357.64"/>
  </r>
  <r>
    <s v="ORD200531"/>
    <d v="2024-07-02T00:00:00"/>
    <s v="C64502"/>
    <x v="6"/>
    <n v="5"/>
    <n v="320.01"/>
    <s v="722 Main St"/>
    <s v="Gift Card"/>
    <x v="3"/>
    <s v="TRK14914388"/>
    <n v="6"/>
    <s v="No COUPON"/>
    <s v="Referral"/>
    <n v="1600.05"/>
  </r>
  <r>
    <s v="ORD200532"/>
    <d v="2025-05-03T00:00:00"/>
    <s v="C47365"/>
    <x v="5"/>
    <n v="2"/>
    <n v="41"/>
    <s v="369 Main St"/>
    <s v="Online"/>
    <x v="3"/>
    <s v="TRK42207882"/>
    <n v="7"/>
    <s v="No COUPON"/>
    <s v="Email"/>
    <n v="82"/>
  </r>
  <r>
    <s v="ORD200533"/>
    <d v="2023-03-05T00:00:00"/>
    <s v="C66349"/>
    <x v="6"/>
    <n v="1"/>
    <n v="565.85"/>
    <s v="715 Main St"/>
    <s v="Gift Card"/>
    <x v="2"/>
    <s v="TRK63550793"/>
    <n v="1"/>
    <s v="FREESHIP"/>
    <s v="Facebook"/>
    <n v="565.85"/>
  </r>
  <r>
    <s v="ORD200534"/>
    <d v="2024-06-06T00:00:00"/>
    <s v="C73289"/>
    <x v="3"/>
    <n v="3"/>
    <n v="648.59"/>
    <s v="906 Main St"/>
    <s v="Debit Card"/>
    <x v="1"/>
    <s v="TRK70872738"/>
    <n v="4"/>
    <s v="SAVE10"/>
    <s v="Email"/>
    <n v="1945.77"/>
  </r>
  <r>
    <s v="ORD200535"/>
    <d v="2024-07-24T00:00:00"/>
    <s v="C48649"/>
    <x v="0"/>
    <n v="3"/>
    <n v="68.12"/>
    <s v="332 Main St"/>
    <s v="Online"/>
    <x v="1"/>
    <s v="TRK45821445"/>
    <n v="3"/>
    <s v="FREESHIP"/>
    <s v="Email"/>
    <n v="204.36"/>
  </r>
  <r>
    <s v="ORD200536"/>
    <d v="2024-06-09T00:00:00"/>
    <s v="C18724"/>
    <x v="3"/>
    <n v="1"/>
    <n v="616.1"/>
    <s v="124 Main St"/>
    <s v="Cash"/>
    <x v="2"/>
    <s v="TRK52508861"/>
    <n v="6"/>
    <s v="No COUPON"/>
    <s v="Email"/>
    <n v="616.1"/>
  </r>
  <r>
    <s v="ORD200537"/>
    <d v="2025-03-23T00:00:00"/>
    <s v="C68553"/>
    <x v="2"/>
    <n v="3"/>
    <n v="247.47"/>
    <s v="385 Main St"/>
    <s v="Online"/>
    <x v="3"/>
    <s v="TRK58218971"/>
    <n v="4"/>
    <s v="SAVE10"/>
    <s v="Facebook"/>
    <n v="742.41"/>
  </r>
  <r>
    <s v="ORD200538"/>
    <d v="2024-05-24T00:00:00"/>
    <s v="C61280"/>
    <x v="1"/>
    <n v="3"/>
    <n v="490.74"/>
    <s v="100 Main St"/>
    <s v="Cash"/>
    <x v="0"/>
    <s v="TRK95487711"/>
    <n v="3"/>
    <s v="WINTER15"/>
    <s v="Email"/>
    <n v="1472.22"/>
  </r>
  <r>
    <s v="ORD200539"/>
    <d v="2025-02-18T00:00:00"/>
    <s v="C53277"/>
    <x v="6"/>
    <n v="3"/>
    <n v="531.72"/>
    <s v="473 Main St"/>
    <s v="Gift Card"/>
    <x v="3"/>
    <s v="TRK17653832"/>
    <n v="7"/>
    <s v="SAVE10"/>
    <s v="Google"/>
    <n v="1595.16"/>
  </r>
  <r>
    <s v="ORD200540"/>
    <d v="2024-01-29T00:00:00"/>
    <s v="C87281"/>
    <x v="5"/>
    <n v="5"/>
    <n v="648.65"/>
    <s v="852 Main St"/>
    <s v="Online"/>
    <x v="4"/>
    <s v="TRK81765057"/>
    <n v="7"/>
    <s v="No COUPON"/>
    <s v="Referral"/>
    <n v="3243.25"/>
  </r>
  <r>
    <s v="ORD200541"/>
    <d v="2023-08-07T00:00:00"/>
    <s v="C69009"/>
    <x v="4"/>
    <n v="5"/>
    <n v="456.06"/>
    <s v="879 Main St"/>
    <s v="Cash"/>
    <x v="4"/>
    <s v="TRK61295842"/>
    <n v="10"/>
    <s v="No COUPON"/>
    <s v="Instagram"/>
    <n v="2280.3000000000002"/>
  </r>
  <r>
    <s v="ORD200542"/>
    <d v="2023-11-14T00:00:00"/>
    <s v="C49726"/>
    <x v="2"/>
    <n v="1"/>
    <n v="17.98"/>
    <s v="934 Main St"/>
    <s v="Cash"/>
    <x v="1"/>
    <s v="TRK20739460"/>
    <n v="6"/>
    <s v="FREESHIP"/>
    <s v="Email"/>
    <n v="17.98"/>
  </r>
  <r>
    <s v="ORD200543"/>
    <d v="2024-03-09T00:00:00"/>
    <s v="C37531"/>
    <x v="6"/>
    <n v="5"/>
    <n v="269.86"/>
    <s v="354 Main St"/>
    <s v="Cash"/>
    <x v="0"/>
    <s v="TRK93877673"/>
    <n v="6"/>
    <s v="WINTER15"/>
    <s v="Facebook"/>
    <n v="1349.3"/>
  </r>
  <r>
    <s v="ORD200544"/>
    <d v="2024-03-10T00:00:00"/>
    <s v="C48713"/>
    <x v="4"/>
    <n v="5"/>
    <n v="31.96"/>
    <s v="373 Main St"/>
    <s v="Credit Card"/>
    <x v="2"/>
    <s v="TRK96334419"/>
    <n v="5"/>
    <s v="FREESHIP"/>
    <s v="Referral"/>
    <n v="159.80000000000001"/>
  </r>
  <r>
    <s v="ORD200545"/>
    <d v="2023-12-19T00:00:00"/>
    <s v="C74138"/>
    <x v="0"/>
    <n v="2"/>
    <n v="98.47"/>
    <s v="964 Main St"/>
    <s v="Cash"/>
    <x v="2"/>
    <s v="TRK74091695"/>
    <n v="3"/>
    <s v="No COUPON"/>
    <s v="Instagram"/>
    <n v="196.94"/>
  </r>
  <r>
    <s v="ORD200546"/>
    <d v="2024-03-01T00:00:00"/>
    <s v="C82399"/>
    <x v="0"/>
    <n v="1"/>
    <n v="158.68"/>
    <s v="928 Main St"/>
    <s v="Credit Card"/>
    <x v="2"/>
    <s v="TRK77177284"/>
    <n v="6"/>
    <s v="WINTER15"/>
    <s v="Instagram"/>
    <n v="158.68"/>
  </r>
  <r>
    <s v="ORD200547"/>
    <d v="2023-08-20T00:00:00"/>
    <s v="C40427"/>
    <x v="1"/>
    <n v="1"/>
    <n v="613.98"/>
    <s v="411 Main St"/>
    <s v="Online"/>
    <x v="3"/>
    <s v="TRK25392280"/>
    <n v="4"/>
    <s v="FREESHIP"/>
    <s v="Facebook"/>
    <n v="613.98"/>
  </r>
  <r>
    <s v="ORD200548"/>
    <d v="2024-01-05T00:00:00"/>
    <s v="C17103"/>
    <x v="4"/>
    <n v="3"/>
    <n v="426.12"/>
    <s v="922 Main St"/>
    <s v="Online"/>
    <x v="3"/>
    <s v="TRK64398650"/>
    <n v="5"/>
    <s v="WINTER15"/>
    <s v="Instagram"/>
    <n v="1278.3599999999999"/>
  </r>
  <r>
    <s v="ORD200549"/>
    <d v="2025-02-25T00:00:00"/>
    <s v="C34266"/>
    <x v="0"/>
    <n v="4"/>
    <n v="629.88"/>
    <s v="550 Main St"/>
    <s v="Debit Card"/>
    <x v="1"/>
    <s v="TRK56378197"/>
    <n v="8"/>
    <s v="WINTER15"/>
    <s v="Instagram"/>
    <n v="2519.52"/>
  </r>
  <r>
    <s v="ORD200550"/>
    <d v="2023-10-29T00:00:00"/>
    <s v="C97485"/>
    <x v="5"/>
    <n v="4"/>
    <n v="228.91"/>
    <s v="573 Main St"/>
    <s v="Cash"/>
    <x v="0"/>
    <s v="TRK81794737"/>
    <n v="4"/>
    <s v="FREESHIP"/>
    <s v="Google"/>
    <n v="915.64"/>
  </r>
  <r>
    <s v="ORD200551"/>
    <d v="2023-05-18T00:00:00"/>
    <s v="C23947"/>
    <x v="5"/>
    <n v="1"/>
    <n v="120.98"/>
    <s v="353 Main St"/>
    <s v="Debit Card"/>
    <x v="3"/>
    <s v="TRK74812710"/>
    <n v="6"/>
    <s v="WINTER15"/>
    <s v="Email"/>
    <n v="120.98"/>
  </r>
  <r>
    <s v="ORD200552"/>
    <d v="2023-09-30T00:00:00"/>
    <s v="C21665"/>
    <x v="3"/>
    <n v="4"/>
    <n v="425.18"/>
    <s v="560 Main St"/>
    <s v="Online"/>
    <x v="2"/>
    <s v="TRK29890761"/>
    <n v="8"/>
    <s v="WINTER15"/>
    <s v="Facebook"/>
    <n v="1700.72"/>
  </r>
  <r>
    <s v="ORD200553"/>
    <d v="2023-08-23T00:00:00"/>
    <s v="C82550"/>
    <x v="1"/>
    <n v="2"/>
    <n v="333.83"/>
    <s v="828 Main St"/>
    <s v="Gift Card"/>
    <x v="1"/>
    <s v="TRK74103758"/>
    <n v="4"/>
    <s v="FREESHIP"/>
    <s v="Referral"/>
    <n v="667.66"/>
  </r>
  <r>
    <s v="ORD200554"/>
    <d v="2025-05-30T00:00:00"/>
    <s v="C61943"/>
    <x v="5"/>
    <n v="2"/>
    <n v="492.9"/>
    <s v="610 Main St"/>
    <s v="Cash"/>
    <x v="2"/>
    <s v="TRK66126496"/>
    <n v="5"/>
    <s v="FREESHIP"/>
    <s v="Instagram"/>
    <n v="985.8"/>
  </r>
  <r>
    <s v="ORD200555"/>
    <d v="2023-01-07T00:00:00"/>
    <s v="C88933"/>
    <x v="2"/>
    <n v="1"/>
    <n v="92.04"/>
    <s v="333 Main St"/>
    <s v="Cash"/>
    <x v="0"/>
    <s v="TRK89306964"/>
    <n v="2"/>
    <s v="No COUPON"/>
    <s v="Facebook"/>
    <n v="92.04"/>
  </r>
  <r>
    <s v="ORD200556"/>
    <d v="2023-01-28T00:00:00"/>
    <s v="C30923"/>
    <x v="5"/>
    <n v="1"/>
    <n v="654.27"/>
    <s v="932 Main St"/>
    <s v="Gift Card"/>
    <x v="4"/>
    <s v="TRK82609328"/>
    <n v="2"/>
    <s v="SAVE10"/>
    <s v="Facebook"/>
    <n v="654.27"/>
  </r>
  <r>
    <s v="ORD200557"/>
    <d v="2023-06-29T00:00:00"/>
    <s v="C56969"/>
    <x v="2"/>
    <n v="1"/>
    <n v="56.2"/>
    <s v="130 Main St"/>
    <s v="Debit Card"/>
    <x v="4"/>
    <s v="TRK40719215"/>
    <n v="1"/>
    <s v="WINTER15"/>
    <s v="Facebook"/>
    <n v="56.2"/>
  </r>
  <r>
    <s v="ORD200558"/>
    <d v="2024-07-16T00:00:00"/>
    <s v="C76766"/>
    <x v="1"/>
    <n v="4"/>
    <n v="628.12"/>
    <s v="485 Main St"/>
    <s v="Online"/>
    <x v="3"/>
    <s v="TRK32052962"/>
    <n v="6"/>
    <s v="WINTER15"/>
    <s v="Instagram"/>
    <n v="2512.48"/>
  </r>
  <r>
    <s v="ORD200559"/>
    <d v="2024-04-15T00:00:00"/>
    <s v="C22981"/>
    <x v="6"/>
    <n v="3"/>
    <n v="157.4"/>
    <s v="454 Main St"/>
    <s v="Debit Card"/>
    <x v="1"/>
    <s v="TRK10115285"/>
    <n v="7"/>
    <s v="WINTER15"/>
    <s v="Email"/>
    <n v="472.2"/>
  </r>
  <r>
    <s v="ORD200560"/>
    <d v="2023-01-31T00:00:00"/>
    <s v="C33634"/>
    <x v="0"/>
    <n v="4"/>
    <n v="588.85"/>
    <s v="524 Main St"/>
    <s v="Gift Card"/>
    <x v="4"/>
    <s v="TRK93168008"/>
    <n v="7"/>
    <s v="No COUPON"/>
    <s v="Email"/>
    <n v="2355.4"/>
  </r>
  <r>
    <s v="ORD200561"/>
    <d v="2023-01-31T00:00:00"/>
    <s v="C96822"/>
    <x v="4"/>
    <n v="2"/>
    <n v="494.78"/>
    <s v="198 Main St"/>
    <s v="Online"/>
    <x v="0"/>
    <s v="TRK89180077"/>
    <n v="2"/>
    <s v="No COUPON"/>
    <s v="Google"/>
    <n v="989.56"/>
  </r>
  <r>
    <s v="ORD200562"/>
    <d v="2023-10-06T00:00:00"/>
    <s v="C76675"/>
    <x v="5"/>
    <n v="3"/>
    <n v="663.93"/>
    <s v="922 Main St"/>
    <s v="Gift Card"/>
    <x v="2"/>
    <s v="TRK28043915"/>
    <n v="6"/>
    <s v="FREESHIP"/>
    <s v="Email"/>
    <n v="1991.79"/>
  </r>
  <r>
    <s v="ORD200563"/>
    <d v="2023-12-12T00:00:00"/>
    <s v="C12039"/>
    <x v="5"/>
    <n v="1"/>
    <n v="132.68"/>
    <s v="844 Main St"/>
    <s v="Debit Card"/>
    <x v="2"/>
    <s v="TRK68645763"/>
    <n v="1"/>
    <s v="SAVE10"/>
    <s v="Referral"/>
    <n v="132.68"/>
  </r>
  <r>
    <s v="ORD200564"/>
    <d v="2025-04-08T00:00:00"/>
    <s v="C93309"/>
    <x v="6"/>
    <n v="5"/>
    <n v="364.28"/>
    <s v="734 Main St"/>
    <s v="Credit Card"/>
    <x v="1"/>
    <s v="TRK99446987"/>
    <n v="5"/>
    <s v="WINTER15"/>
    <s v="Google"/>
    <n v="1821.4"/>
  </r>
  <r>
    <s v="ORD200565"/>
    <d v="2023-05-14T00:00:00"/>
    <s v="C62042"/>
    <x v="2"/>
    <n v="5"/>
    <n v="307.98"/>
    <s v="214 Main St"/>
    <s v="Online"/>
    <x v="4"/>
    <s v="TRK42605492"/>
    <n v="10"/>
    <s v="No COUPON"/>
    <s v="Facebook"/>
    <n v="1539.9"/>
  </r>
  <r>
    <s v="ORD200566"/>
    <d v="2024-04-18T00:00:00"/>
    <s v="C83223"/>
    <x v="1"/>
    <n v="4"/>
    <n v="162.71"/>
    <s v="167 Main St"/>
    <s v="Cash"/>
    <x v="1"/>
    <s v="TRK54339083"/>
    <n v="7"/>
    <s v="FREESHIP"/>
    <s v="Email"/>
    <n v="650.84"/>
  </r>
  <r>
    <s v="ORD200567"/>
    <d v="2024-09-30T00:00:00"/>
    <s v="C92575"/>
    <x v="3"/>
    <n v="5"/>
    <n v="492.94"/>
    <s v="153 Main St"/>
    <s v="Cash"/>
    <x v="0"/>
    <s v="TRK53579227"/>
    <n v="10"/>
    <s v="FREESHIP"/>
    <s v="Email"/>
    <n v="2464.6999999999998"/>
  </r>
  <r>
    <s v="ORD200568"/>
    <d v="2023-03-10T00:00:00"/>
    <s v="C29072"/>
    <x v="5"/>
    <n v="2"/>
    <n v="343.99"/>
    <s v="312 Main St"/>
    <s v="Online"/>
    <x v="3"/>
    <s v="TRK72334047"/>
    <n v="4"/>
    <s v="No COUPON"/>
    <s v="Google"/>
    <n v="687.98"/>
  </r>
  <r>
    <s v="ORD200569"/>
    <d v="2025-03-22T00:00:00"/>
    <s v="C25783"/>
    <x v="6"/>
    <n v="5"/>
    <n v="250.68"/>
    <s v="672 Main St"/>
    <s v="Cash"/>
    <x v="0"/>
    <s v="TRK13289741"/>
    <n v="8"/>
    <s v="SAVE10"/>
    <s v="Instagram"/>
    <n v="1253.4000000000001"/>
  </r>
  <r>
    <s v="ORD200570"/>
    <d v="2024-12-27T00:00:00"/>
    <s v="C63727"/>
    <x v="6"/>
    <n v="2"/>
    <n v="362.14"/>
    <s v="122 Main St"/>
    <s v="Debit Card"/>
    <x v="4"/>
    <s v="TRK13611021"/>
    <n v="2"/>
    <s v="SAVE10"/>
    <s v="Instagram"/>
    <n v="724.28"/>
  </r>
  <r>
    <s v="ORD200571"/>
    <d v="2024-11-23T00:00:00"/>
    <s v="C42365"/>
    <x v="2"/>
    <n v="1"/>
    <n v="214.08"/>
    <s v="867 Main St"/>
    <s v="Gift Card"/>
    <x v="2"/>
    <s v="TRK39563288"/>
    <n v="2"/>
    <s v="WINTER15"/>
    <s v="Google"/>
    <n v="214.08"/>
  </r>
  <r>
    <s v="ORD200572"/>
    <d v="2023-11-11T00:00:00"/>
    <s v="C27438"/>
    <x v="4"/>
    <n v="1"/>
    <n v="70.319999999999993"/>
    <s v="341 Main St"/>
    <s v="Cash"/>
    <x v="2"/>
    <s v="TRK69125497"/>
    <n v="4"/>
    <s v="WINTER15"/>
    <s v="Facebook"/>
    <n v="70.319999999999993"/>
  </r>
  <r>
    <s v="ORD200573"/>
    <d v="2023-01-25T00:00:00"/>
    <s v="C13205"/>
    <x v="3"/>
    <n v="5"/>
    <n v="421.42"/>
    <s v="522 Main St"/>
    <s v="Debit Card"/>
    <x v="1"/>
    <s v="TRK30686578"/>
    <n v="7"/>
    <s v="No COUPON"/>
    <s v="Instagram"/>
    <n v="2107.1"/>
  </r>
  <r>
    <s v="ORD200574"/>
    <d v="2024-01-24T00:00:00"/>
    <s v="C29685"/>
    <x v="3"/>
    <n v="5"/>
    <n v="384.69"/>
    <s v="275 Main St"/>
    <s v="Credit Card"/>
    <x v="4"/>
    <s v="TRK97733212"/>
    <n v="6"/>
    <s v="FREESHIP"/>
    <s v="Email"/>
    <n v="1923.45"/>
  </r>
  <r>
    <s v="ORD200575"/>
    <d v="2023-06-07T00:00:00"/>
    <s v="C74005"/>
    <x v="3"/>
    <n v="5"/>
    <n v="448.15"/>
    <s v="528 Main St"/>
    <s v="Gift Card"/>
    <x v="2"/>
    <s v="TRK61640534"/>
    <n v="7"/>
    <s v="SAVE10"/>
    <s v="Google"/>
    <n v="2240.75"/>
  </r>
  <r>
    <s v="ORD200576"/>
    <d v="2024-05-29T00:00:00"/>
    <s v="C14457"/>
    <x v="5"/>
    <n v="5"/>
    <n v="79.08"/>
    <s v="747 Main St"/>
    <s v="Cash"/>
    <x v="4"/>
    <s v="TRK42517811"/>
    <n v="8"/>
    <s v="No COUPON"/>
    <s v="Facebook"/>
    <n v="395.4"/>
  </r>
  <r>
    <s v="ORD200577"/>
    <d v="2023-01-22T00:00:00"/>
    <s v="C77046"/>
    <x v="2"/>
    <n v="4"/>
    <n v="185.41"/>
    <s v="967 Main St"/>
    <s v="Online"/>
    <x v="2"/>
    <s v="TRK44401497"/>
    <n v="9"/>
    <s v="WINTER15"/>
    <s v="Google"/>
    <n v="741.64"/>
  </r>
  <r>
    <s v="ORD200578"/>
    <d v="2024-10-10T00:00:00"/>
    <s v="C50415"/>
    <x v="0"/>
    <n v="5"/>
    <n v="566.07000000000005"/>
    <s v="587 Main St"/>
    <s v="Credit Card"/>
    <x v="3"/>
    <s v="TRK41345634"/>
    <n v="6"/>
    <s v="SAVE10"/>
    <s v="Instagram"/>
    <n v="2830.35"/>
  </r>
  <r>
    <s v="ORD200579"/>
    <d v="2023-06-04T00:00:00"/>
    <s v="C73999"/>
    <x v="2"/>
    <n v="2"/>
    <n v="187.88"/>
    <s v="413 Main St"/>
    <s v="Online"/>
    <x v="0"/>
    <s v="TRK67919507"/>
    <n v="4"/>
    <s v="WINTER15"/>
    <s v="Facebook"/>
    <n v="375.76"/>
  </r>
  <r>
    <s v="ORD200580"/>
    <d v="2023-11-14T00:00:00"/>
    <s v="C71076"/>
    <x v="0"/>
    <n v="2"/>
    <n v="255.99"/>
    <s v="340 Main St"/>
    <s v="Credit Card"/>
    <x v="3"/>
    <s v="TRK65148292"/>
    <n v="4"/>
    <s v="SAVE10"/>
    <s v="Instagram"/>
    <n v="511.98"/>
  </r>
  <r>
    <s v="ORD200581"/>
    <d v="2024-11-11T00:00:00"/>
    <s v="C44674"/>
    <x v="5"/>
    <n v="1"/>
    <n v="627.34"/>
    <s v="942 Main St"/>
    <s v="Online"/>
    <x v="3"/>
    <s v="TRK87158684"/>
    <n v="1"/>
    <s v="No COUPON"/>
    <s v="Referral"/>
    <n v="627.34"/>
  </r>
  <r>
    <s v="ORD200582"/>
    <d v="2024-02-19T00:00:00"/>
    <s v="C15228"/>
    <x v="2"/>
    <n v="3"/>
    <n v="474.14"/>
    <s v="558 Main St"/>
    <s v="Gift Card"/>
    <x v="0"/>
    <s v="TRK33860620"/>
    <n v="8"/>
    <s v="WINTER15"/>
    <s v="Google"/>
    <n v="1422.42"/>
  </r>
  <r>
    <s v="ORD200583"/>
    <d v="2025-06-15T00:00:00"/>
    <s v="C27072"/>
    <x v="3"/>
    <n v="3"/>
    <n v="154.37"/>
    <s v="996 Main St"/>
    <s v="Gift Card"/>
    <x v="3"/>
    <s v="TRK29750379"/>
    <n v="4"/>
    <s v="No COUPON"/>
    <s v="Instagram"/>
    <n v="463.11"/>
  </r>
  <r>
    <s v="ORD200584"/>
    <d v="2025-03-21T00:00:00"/>
    <s v="C15257"/>
    <x v="3"/>
    <n v="4"/>
    <n v="145.05000000000001"/>
    <s v="626 Main St"/>
    <s v="Online"/>
    <x v="3"/>
    <s v="TRK28779938"/>
    <n v="6"/>
    <s v="SAVE10"/>
    <s v="Google"/>
    <n v="580.20000000000005"/>
  </r>
  <r>
    <s v="ORD200585"/>
    <d v="2023-08-20T00:00:00"/>
    <s v="C91486"/>
    <x v="2"/>
    <n v="4"/>
    <n v="67.08"/>
    <s v="907 Main St"/>
    <s v="Cash"/>
    <x v="2"/>
    <s v="TRK79617136"/>
    <n v="8"/>
    <s v="WINTER15"/>
    <s v="Google"/>
    <n v="268.32"/>
  </r>
  <r>
    <s v="ORD200586"/>
    <d v="2024-11-10T00:00:00"/>
    <s v="C17389"/>
    <x v="0"/>
    <n v="1"/>
    <n v="522.08000000000004"/>
    <s v="905 Main St"/>
    <s v="Gift Card"/>
    <x v="2"/>
    <s v="TRK98857880"/>
    <n v="5"/>
    <s v="FREESHIP"/>
    <s v="Referral"/>
    <n v="522.08000000000004"/>
  </r>
  <r>
    <s v="ORD200587"/>
    <d v="2023-06-12T00:00:00"/>
    <s v="C18820"/>
    <x v="0"/>
    <n v="5"/>
    <n v="514.6"/>
    <s v="347 Main St"/>
    <s v="Gift Card"/>
    <x v="3"/>
    <s v="TRK91547425"/>
    <n v="10"/>
    <s v="FREESHIP"/>
    <s v="Instagram"/>
    <n v="2573"/>
  </r>
  <r>
    <s v="ORD200588"/>
    <d v="2024-12-10T00:00:00"/>
    <s v="C61849"/>
    <x v="0"/>
    <n v="4"/>
    <n v="577.82000000000005"/>
    <s v="811 Main St"/>
    <s v="Credit Card"/>
    <x v="3"/>
    <s v="TRK47613918"/>
    <n v="9"/>
    <s v="No COUPON"/>
    <s v="Google"/>
    <n v="2311.2800000000002"/>
  </r>
  <r>
    <s v="ORD200589"/>
    <d v="2025-02-10T00:00:00"/>
    <s v="C84041"/>
    <x v="5"/>
    <n v="2"/>
    <n v="500.8"/>
    <s v="900 Main St"/>
    <s v="Cash"/>
    <x v="3"/>
    <s v="TRK84920444"/>
    <n v="3"/>
    <s v="FREESHIP"/>
    <s v="Referral"/>
    <n v="1001.6"/>
  </r>
  <r>
    <s v="ORD200590"/>
    <d v="2023-09-10T00:00:00"/>
    <s v="C55757"/>
    <x v="4"/>
    <n v="2"/>
    <n v="461.13"/>
    <s v="175 Main St"/>
    <s v="Gift Card"/>
    <x v="2"/>
    <s v="TRK27356242"/>
    <n v="4"/>
    <s v="No COUPON"/>
    <s v="Email"/>
    <n v="922.26"/>
  </r>
  <r>
    <s v="ORD200591"/>
    <d v="2024-11-18T00:00:00"/>
    <s v="C18187"/>
    <x v="5"/>
    <n v="1"/>
    <n v="605.28"/>
    <s v="470 Main St"/>
    <s v="Gift Card"/>
    <x v="0"/>
    <s v="TRK50528185"/>
    <n v="3"/>
    <s v="FREESHIP"/>
    <s v="Referral"/>
    <n v="605.28"/>
  </r>
  <r>
    <s v="ORD200592"/>
    <d v="2024-04-23T00:00:00"/>
    <s v="C42306"/>
    <x v="1"/>
    <n v="3"/>
    <n v="204.27"/>
    <s v="938 Main St"/>
    <s v="Online"/>
    <x v="2"/>
    <s v="TRK15499648"/>
    <n v="4"/>
    <s v="No COUPON"/>
    <s v="Google"/>
    <n v="612.81000000000006"/>
  </r>
  <r>
    <s v="ORD200593"/>
    <d v="2023-08-02T00:00:00"/>
    <s v="C51024"/>
    <x v="0"/>
    <n v="1"/>
    <n v="489.8"/>
    <s v="636 Main St"/>
    <s v="Gift Card"/>
    <x v="0"/>
    <s v="TRK31375086"/>
    <n v="4"/>
    <s v="FREESHIP"/>
    <s v="Facebook"/>
    <n v="489.8"/>
  </r>
  <r>
    <s v="ORD200594"/>
    <d v="2024-02-21T00:00:00"/>
    <s v="C40140"/>
    <x v="1"/>
    <n v="5"/>
    <n v="72.64"/>
    <s v="598 Main St"/>
    <s v="Credit Card"/>
    <x v="1"/>
    <s v="TRK12671989"/>
    <n v="7"/>
    <s v="No COUPON"/>
    <s v="Email"/>
    <n v="363.2"/>
  </r>
  <r>
    <s v="ORD200595"/>
    <d v="2025-01-10T00:00:00"/>
    <s v="C72596"/>
    <x v="4"/>
    <n v="2"/>
    <n v="385.16"/>
    <s v="491 Main St"/>
    <s v="Online"/>
    <x v="4"/>
    <s v="TRK83870446"/>
    <n v="7"/>
    <s v="SAVE10"/>
    <s v="Email"/>
    <n v="770.32"/>
  </r>
  <r>
    <s v="ORD200596"/>
    <d v="2023-06-12T00:00:00"/>
    <s v="C91805"/>
    <x v="6"/>
    <n v="3"/>
    <n v="606.41"/>
    <s v="653 Main St"/>
    <s v="Debit Card"/>
    <x v="2"/>
    <s v="TRK34504030"/>
    <n v="7"/>
    <s v="FREESHIP"/>
    <s v="Facebook"/>
    <n v="1819.23"/>
  </r>
  <r>
    <s v="ORD200597"/>
    <d v="2024-11-25T00:00:00"/>
    <s v="C40538"/>
    <x v="6"/>
    <n v="2"/>
    <n v="211.82"/>
    <s v="700 Main St"/>
    <s v="Gift Card"/>
    <x v="1"/>
    <s v="TRK29821356"/>
    <n v="4"/>
    <s v="WINTER15"/>
    <s v="Email"/>
    <n v="423.64"/>
  </r>
  <r>
    <s v="ORD200598"/>
    <d v="2024-04-26T00:00:00"/>
    <s v="C60329"/>
    <x v="6"/>
    <n v="5"/>
    <n v="495.35"/>
    <s v="826 Main St"/>
    <s v="Credit Card"/>
    <x v="4"/>
    <s v="TRK59069987"/>
    <n v="5"/>
    <s v="No COUPON"/>
    <s v="Facebook"/>
    <n v="2476.75"/>
  </r>
  <r>
    <s v="ORD200599"/>
    <d v="2023-06-30T00:00:00"/>
    <s v="C28740"/>
    <x v="3"/>
    <n v="3"/>
    <n v="556.99"/>
    <s v="123 Main St"/>
    <s v="Online"/>
    <x v="1"/>
    <s v="TRK33642221"/>
    <n v="4"/>
    <s v="FREESHIP"/>
    <s v="Facebook"/>
    <n v="1670.97"/>
  </r>
  <r>
    <s v="ORD200600"/>
    <d v="2023-05-26T00:00:00"/>
    <s v="C87051"/>
    <x v="4"/>
    <n v="1"/>
    <n v="72.31"/>
    <s v="460 Main St"/>
    <s v="Gift Card"/>
    <x v="1"/>
    <s v="TRK82056333"/>
    <n v="1"/>
    <s v="FREESHIP"/>
    <s v="Facebook"/>
    <n v="72.31"/>
  </r>
  <r>
    <s v="ORD200601"/>
    <d v="2023-10-02T00:00:00"/>
    <s v="C12479"/>
    <x v="0"/>
    <n v="5"/>
    <n v="24.82"/>
    <s v="529 Main St"/>
    <s v="Credit Card"/>
    <x v="0"/>
    <s v="TRK73935314"/>
    <n v="10"/>
    <s v="No COUPON"/>
    <s v="Referral"/>
    <n v="124.1"/>
  </r>
  <r>
    <s v="ORD200602"/>
    <d v="2024-03-05T00:00:00"/>
    <s v="C35852"/>
    <x v="2"/>
    <n v="4"/>
    <n v="26.04"/>
    <s v="982 Main St"/>
    <s v="Online"/>
    <x v="4"/>
    <s v="TRK64660134"/>
    <n v="5"/>
    <s v="SAVE10"/>
    <s v="Instagram"/>
    <n v="104.16"/>
  </r>
  <r>
    <s v="ORD200603"/>
    <d v="2024-10-04T00:00:00"/>
    <s v="C26223"/>
    <x v="2"/>
    <n v="1"/>
    <n v="657.07"/>
    <s v="800 Main St"/>
    <s v="Cash"/>
    <x v="4"/>
    <s v="TRK50900547"/>
    <n v="4"/>
    <s v="SAVE10"/>
    <s v="Google"/>
    <n v="657.07"/>
  </r>
  <r>
    <s v="ORD200604"/>
    <d v="2025-06-22T00:00:00"/>
    <s v="C99214"/>
    <x v="3"/>
    <n v="3"/>
    <n v="32.619999999999997"/>
    <s v="252 Main St"/>
    <s v="Debit Card"/>
    <x v="3"/>
    <s v="TRK81368481"/>
    <n v="6"/>
    <s v="No COUPON"/>
    <s v="Facebook"/>
    <n v="97.859999999999985"/>
  </r>
  <r>
    <s v="ORD200605"/>
    <d v="2024-05-10T00:00:00"/>
    <s v="C49605"/>
    <x v="0"/>
    <n v="2"/>
    <n v="228.91"/>
    <s v="892 Main St"/>
    <s v="Debit Card"/>
    <x v="0"/>
    <s v="TRK95620066"/>
    <n v="4"/>
    <s v="SAVE10"/>
    <s v="Referral"/>
    <n v="457.82"/>
  </r>
  <r>
    <s v="ORD200606"/>
    <d v="2024-11-06T00:00:00"/>
    <s v="C85018"/>
    <x v="5"/>
    <n v="3"/>
    <n v="274.75"/>
    <s v="783 Main St"/>
    <s v="Cash"/>
    <x v="1"/>
    <s v="TRK54128886"/>
    <n v="3"/>
    <s v="SAVE10"/>
    <s v="Google"/>
    <n v="824.25"/>
  </r>
  <r>
    <s v="ORD200607"/>
    <d v="2025-05-31T00:00:00"/>
    <s v="C96434"/>
    <x v="4"/>
    <n v="4"/>
    <n v="634.04999999999995"/>
    <s v="282 Main St"/>
    <s v="Cash"/>
    <x v="0"/>
    <s v="TRK56730647"/>
    <n v="6"/>
    <s v="SAVE10"/>
    <s v="Google"/>
    <n v="2536.1999999999998"/>
  </r>
  <r>
    <s v="ORD200608"/>
    <d v="2024-07-24T00:00:00"/>
    <s v="C32956"/>
    <x v="5"/>
    <n v="5"/>
    <n v="543.16"/>
    <s v="788 Main St"/>
    <s v="Online"/>
    <x v="1"/>
    <s v="TRK73140103"/>
    <n v="6"/>
    <s v="SAVE10"/>
    <s v="Instagram"/>
    <n v="2715.8"/>
  </r>
  <r>
    <s v="ORD200609"/>
    <d v="2025-01-27T00:00:00"/>
    <s v="C41137"/>
    <x v="3"/>
    <n v="3"/>
    <n v="449.13"/>
    <s v="809 Main St"/>
    <s v="Cash"/>
    <x v="2"/>
    <s v="TRK52732162"/>
    <n v="5"/>
    <s v="WINTER15"/>
    <s v="Referral"/>
    <n v="1347.39"/>
  </r>
  <r>
    <s v="ORD200610"/>
    <d v="2024-06-16T00:00:00"/>
    <s v="C60361"/>
    <x v="6"/>
    <n v="5"/>
    <n v="389.62"/>
    <s v="623 Main St"/>
    <s v="Cash"/>
    <x v="2"/>
    <s v="TRK83566924"/>
    <n v="7"/>
    <s v="FREESHIP"/>
    <s v="Facebook"/>
    <n v="1948.1"/>
  </r>
  <r>
    <s v="ORD200611"/>
    <d v="2023-04-21T00:00:00"/>
    <s v="C36688"/>
    <x v="6"/>
    <n v="1"/>
    <n v="305.17"/>
    <s v="700 Main St"/>
    <s v="Gift Card"/>
    <x v="2"/>
    <s v="TRK35720426"/>
    <n v="3"/>
    <s v="WINTER15"/>
    <s v="Referral"/>
    <n v="305.17"/>
  </r>
  <r>
    <s v="ORD200612"/>
    <d v="2023-06-02T00:00:00"/>
    <s v="C51811"/>
    <x v="3"/>
    <n v="3"/>
    <n v="445.12"/>
    <s v="339 Main St"/>
    <s v="Gift Card"/>
    <x v="1"/>
    <s v="TRK82377939"/>
    <n v="8"/>
    <s v="No COUPON"/>
    <s v="Google"/>
    <n v="1335.36"/>
  </r>
  <r>
    <s v="ORD200613"/>
    <d v="2024-12-19T00:00:00"/>
    <s v="C62405"/>
    <x v="5"/>
    <n v="2"/>
    <n v="230.36"/>
    <s v="154 Main St"/>
    <s v="Online"/>
    <x v="2"/>
    <s v="TRK14721763"/>
    <n v="4"/>
    <s v="WINTER15"/>
    <s v="Email"/>
    <n v="460.72"/>
  </r>
  <r>
    <s v="ORD200614"/>
    <d v="2024-03-08T00:00:00"/>
    <s v="C77363"/>
    <x v="1"/>
    <n v="1"/>
    <n v="96.81"/>
    <s v="807 Main St"/>
    <s v="Gift Card"/>
    <x v="1"/>
    <s v="TRK12439827"/>
    <n v="3"/>
    <s v="No COUPON"/>
    <s v="Referral"/>
    <n v="96.81"/>
  </r>
  <r>
    <s v="ORD200615"/>
    <d v="2025-03-07T00:00:00"/>
    <s v="C97218"/>
    <x v="0"/>
    <n v="5"/>
    <n v="460.14"/>
    <s v="252 Main St"/>
    <s v="Credit Card"/>
    <x v="2"/>
    <s v="TRK52632065"/>
    <n v="10"/>
    <s v="WINTER15"/>
    <s v="Facebook"/>
    <n v="2300.6999999999998"/>
  </r>
  <r>
    <s v="ORD200616"/>
    <d v="2024-10-17T00:00:00"/>
    <s v="C43919"/>
    <x v="2"/>
    <n v="3"/>
    <n v="601.6"/>
    <s v="984 Main St"/>
    <s v="Credit Card"/>
    <x v="1"/>
    <s v="TRK73113192"/>
    <n v="7"/>
    <s v="SAVE10"/>
    <s v="Facebook"/>
    <n v="1804.8"/>
  </r>
  <r>
    <s v="ORD200617"/>
    <d v="2024-02-08T00:00:00"/>
    <s v="C57093"/>
    <x v="2"/>
    <n v="3"/>
    <n v="184.47"/>
    <s v="834 Main St"/>
    <s v="Online"/>
    <x v="1"/>
    <s v="TRK75469057"/>
    <n v="4"/>
    <s v="No COUPON"/>
    <s v="Referral"/>
    <n v="553.41"/>
  </r>
  <r>
    <s v="ORD200618"/>
    <d v="2024-09-03T00:00:00"/>
    <s v="C50565"/>
    <x v="2"/>
    <n v="1"/>
    <n v="411.34"/>
    <s v="399 Main St"/>
    <s v="Debit Card"/>
    <x v="2"/>
    <s v="TRK97981418"/>
    <n v="5"/>
    <s v="No COUPON"/>
    <s v="Instagram"/>
    <n v="411.34"/>
  </r>
  <r>
    <s v="ORD200619"/>
    <d v="2024-07-16T00:00:00"/>
    <s v="C38845"/>
    <x v="5"/>
    <n v="1"/>
    <n v="532.89"/>
    <s v="764 Main St"/>
    <s v="Gift Card"/>
    <x v="4"/>
    <s v="TRK47637374"/>
    <n v="2"/>
    <s v="No COUPON"/>
    <s v="Referral"/>
    <n v="532.89"/>
  </r>
  <r>
    <s v="ORD200620"/>
    <d v="2024-03-27T00:00:00"/>
    <s v="C84834"/>
    <x v="2"/>
    <n v="3"/>
    <n v="136.34"/>
    <s v="866 Main St"/>
    <s v="Debit Card"/>
    <x v="2"/>
    <s v="TRK90136001"/>
    <n v="8"/>
    <s v="SAVE10"/>
    <s v="Referral"/>
    <n v="409.02"/>
  </r>
  <r>
    <s v="ORD200621"/>
    <d v="2023-10-22T00:00:00"/>
    <s v="C37455"/>
    <x v="1"/>
    <n v="5"/>
    <n v="476.01"/>
    <s v="146 Main St"/>
    <s v="Credit Card"/>
    <x v="3"/>
    <s v="TRK82685594"/>
    <n v="7"/>
    <s v="WINTER15"/>
    <s v="Google"/>
    <n v="2380.0500000000002"/>
  </r>
  <r>
    <s v="ORD200622"/>
    <d v="2024-11-02T00:00:00"/>
    <s v="C27078"/>
    <x v="6"/>
    <n v="5"/>
    <n v="236.38"/>
    <s v="128 Main St"/>
    <s v="Credit Card"/>
    <x v="2"/>
    <s v="TRK89314307"/>
    <n v="7"/>
    <s v="No COUPON"/>
    <s v="Facebook"/>
    <n v="1181.9000000000001"/>
  </r>
  <r>
    <s v="ORD200623"/>
    <d v="2023-06-16T00:00:00"/>
    <s v="C91941"/>
    <x v="4"/>
    <n v="3"/>
    <n v="396"/>
    <s v="269 Main St"/>
    <s v="Gift Card"/>
    <x v="1"/>
    <s v="TRK21330732"/>
    <n v="4"/>
    <s v="FREESHIP"/>
    <s v="Instagram"/>
    <n v="1188"/>
  </r>
  <r>
    <s v="ORD200624"/>
    <d v="2024-01-16T00:00:00"/>
    <s v="C25967"/>
    <x v="2"/>
    <n v="5"/>
    <n v="341.96"/>
    <s v="747 Main St"/>
    <s v="Debit Card"/>
    <x v="3"/>
    <s v="TRK88559278"/>
    <n v="6"/>
    <s v="No COUPON"/>
    <s v="Email"/>
    <n v="1709.8"/>
  </r>
  <r>
    <s v="ORD200625"/>
    <d v="2023-09-24T00:00:00"/>
    <s v="C22123"/>
    <x v="2"/>
    <n v="1"/>
    <n v="672.89"/>
    <s v="519 Main St"/>
    <s v="Credit Card"/>
    <x v="4"/>
    <s v="TRK43250279"/>
    <n v="1"/>
    <s v="WINTER15"/>
    <s v="Email"/>
    <n v="672.89"/>
  </r>
  <r>
    <s v="ORD200626"/>
    <d v="2024-03-01T00:00:00"/>
    <s v="C45671"/>
    <x v="2"/>
    <n v="2"/>
    <n v="657.48"/>
    <s v="769 Main St"/>
    <s v="Online"/>
    <x v="0"/>
    <s v="TRK18179773"/>
    <n v="5"/>
    <s v="SAVE10"/>
    <s v="Referral"/>
    <n v="1314.96"/>
  </r>
  <r>
    <s v="ORD200627"/>
    <d v="2023-08-06T00:00:00"/>
    <s v="C53334"/>
    <x v="3"/>
    <n v="3"/>
    <n v="498.68"/>
    <s v="879 Main St"/>
    <s v="Online"/>
    <x v="2"/>
    <s v="TRK31724421"/>
    <n v="4"/>
    <s v="FREESHIP"/>
    <s v="Email"/>
    <n v="1496.04"/>
  </r>
  <r>
    <s v="ORD200628"/>
    <d v="2023-03-26T00:00:00"/>
    <s v="C18717"/>
    <x v="4"/>
    <n v="5"/>
    <n v="558.63"/>
    <s v="861 Main St"/>
    <s v="Cash"/>
    <x v="4"/>
    <s v="TRK58568806"/>
    <n v="8"/>
    <s v="FREESHIP"/>
    <s v="Referral"/>
    <n v="2793.15"/>
  </r>
  <r>
    <s v="ORD200629"/>
    <d v="2023-07-07T00:00:00"/>
    <s v="C50137"/>
    <x v="1"/>
    <n v="3"/>
    <n v="19.73"/>
    <s v="840 Main St"/>
    <s v="Online"/>
    <x v="4"/>
    <s v="TRK91836131"/>
    <n v="3"/>
    <s v="No COUPON"/>
    <s v="Referral"/>
    <n v="59.19"/>
  </r>
  <r>
    <s v="ORD200630"/>
    <d v="2023-06-23T00:00:00"/>
    <s v="C51481"/>
    <x v="0"/>
    <n v="5"/>
    <n v="248.84"/>
    <s v="140 Main St"/>
    <s v="Debit Card"/>
    <x v="1"/>
    <s v="TRK33437701"/>
    <n v="10"/>
    <s v="No COUPON"/>
    <s v="Instagram"/>
    <n v="1244.2"/>
  </r>
  <r>
    <s v="ORD200631"/>
    <d v="2024-08-31T00:00:00"/>
    <s v="C99128"/>
    <x v="3"/>
    <n v="3"/>
    <n v="46.11"/>
    <s v="360 Main St"/>
    <s v="Gift Card"/>
    <x v="2"/>
    <s v="TRK32426808"/>
    <n v="5"/>
    <s v="WINTER15"/>
    <s v="Referral"/>
    <n v="138.33000000000001"/>
  </r>
  <r>
    <s v="ORD200632"/>
    <d v="2023-05-02T00:00:00"/>
    <s v="C67260"/>
    <x v="5"/>
    <n v="5"/>
    <n v="678.16"/>
    <s v="463 Main St"/>
    <s v="Gift Card"/>
    <x v="3"/>
    <s v="TRK38229104"/>
    <n v="7"/>
    <s v="WINTER15"/>
    <s v="Facebook"/>
    <n v="3390.8"/>
  </r>
  <r>
    <s v="ORD200633"/>
    <d v="2024-04-10T00:00:00"/>
    <s v="C79533"/>
    <x v="5"/>
    <n v="5"/>
    <n v="601.72"/>
    <s v="921 Main St"/>
    <s v="Gift Card"/>
    <x v="1"/>
    <s v="TRK54711422"/>
    <n v="5"/>
    <s v="WINTER15"/>
    <s v="Instagram"/>
    <n v="3008.6"/>
  </r>
  <r>
    <s v="ORD200634"/>
    <d v="2024-04-25T00:00:00"/>
    <s v="C66906"/>
    <x v="4"/>
    <n v="2"/>
    <n v="259.32"/>
    <s v="117 Main St"/>
    <s v="Gift Card"/>
    <x v="3"/>
    <s v="TRK31633755"/>
    <n v="2"/>
    <s v="WINTER15"/>
    <s v="Referral"/>
    <n v="518.64"/>
  </r>
  <r>
    <s v="ORD200635"/>
    <d v="2023-12-13T00:00:00"/>
    <s v="C12818"/>
    <x v="3"/>
    <n v="3"/>
    <n v="63.68"/>
    <s v="434 Main St"/>
    <s v="Cash"/>
    <x v="2"/>
    <s v="TRK40879983"/>
    <n v="6"/>
    <s v="No COUPON"/>
    <s v="Facebook"/>
    <n v="191.04"/>
  </r>
  <r>
    <s v="ORD200636"/>
    <d v="2023-10-05T00:00:00"/>
    <s v="C60384"/>
    <x v="5"/>
    <n v="4"/>
    <n v="371.07"/>
    <s v="336 Main St"/>
    <s v="Cash"/>
    <x v="1"/>
    <s v="TRK92080037"/>
    <n v="7"/>
    <s v="WINTER15"/>
    <s v="Facebook"/>
    <n v="1484.28"/>
  </r>
  <r>
    <s v="ORD200637"/>
    <d v="2024-09-29T00:00:00"/>
    <s v="C92294"/>
    <x v="3"/>
    <n v="4"/>
    <n v="306.35000000000002"/>
    <s v="784 Main St"/>
    <s v="Gift Card"/>
    <x v="0"/>
    <s v="TRK23585765"/>
    <n v="7"/>
    <s v="WINTER15"/>
    <s v="Referral"/>
    <n v="1225.4000000000001"/>
  </r>
  <r>
    <s v="ORD200638"/>
    <d v="2023-10-15T00:00:00"/>
    <s v="C66840"/>
    <x v="2"/>
    <n v="4"/>
    <n v="578.27"/>
    <s v="547 Main St"/>
    <s v="Online"/>
    <x v="3"/>
    <s v="TRK76929637"/>
    <n v="9"/>
    <s v="WINTER15"/>
    <s v="Email"/>
    <n v="2313.08"/>
  </r>
  <r>
    <s v="ORD200639"/>
    <d v="2023-01-20T00:00:00"/>
    <s v="C22534"/>
    <x v="3"/>
    <n v="1"/>
    <n v="529.19000000000005"/>
    <s v="391 Main St"/>
    <s v="Cash"/>
    <x v="1"/>
    <s v="TRK17415798"/>
    <n v="5"/>
    <s v="No COUPON"/>
    <s v="Referral"/>
    <n v="529.19000000000005"/>
  </r>
  <r>
    <s v="ORD200640"/>
    <d v="2024-02-27T00:00:00"/>
    <s v="C46509"/>
    <x v="3"/>
    <n v="2"/>
    <n v="587.49"/>
    <s v="647 Main St"/>
    <s v="Gift Card"/>
    <x v="2"/>
    <s v="TRK24241664"/>
    <n v="6"/>
    <s v="SAVE10"/>
    <s v="Referral"/>
    <n v="1174.98"/>
  </r>
  <r>
    <s v="ORD200641"/>
    <d v="2024-06-30T00:00:00"/>
    <s v="C71680"/>
    <x v="4"/>
    <n v="4"/>
    <n v="567.57000000000005"/>
    <s v="814 Main St"/>
    <s v="Debit Card"/>
    <x v="4"/>
    <s v="TRK47386650"/>
    <n v="9"/>
    <s v="WINTER15"/>
    <s v="Google"/>
    <n v="2270.2800000000002"/>
  </r>
  <r>
    <s v="ORD200642"/>
    <d v="2024-04-29T00:00:00"/>
    <s v="C15063"/>
    <x v="3"/>
    <n v="5"/>
    <n v="85.22"/>
    <s v="527 Main St"/>
    <s v="Credit Card"/>
    <x v="1"/>
    <s v="TRK10329390"/>
    <n v="7"/>
    <s v="FREESHIP"/>
    <s v="Email"/>
    <n v="426.1"/>
  </r>
  <r>
    <s v="ORD200643"/>
    <d v="2024-08-26T00:00:00"/>
    <s v="C77122"/>
    <x v="5"/>
    <n v="1"/>
    <n v="438.37"/>
    <s v="647 Main St"/>
    <s v="Cash"/>
    <x v="1"/>
    <s v="TRK75814880"/>
    <n v="4"/>
    <s v="SAVE10"/>
    <s v="Referral"/>
    <n v="438.37"/>
  </r>
  <r>
    <s v="ORD200644"/>
    <d v="2023-11-15T00:00:00"/>
    <s v="C86524"/>
    <x v="3"/>
    <n v="2"/>
    <n v="366.23"/>
    <s v="961 Main St"/>
    <s v="Cash"/>
    <x v="0"/>
    <s v="TRK62490506"/>
    <n v="2"/>
    <s v="WINTER15"/>
    <s v="Email"/>
    <n v="732.46"/>
  </r>
  <r>
    <s v="ORD200645"/>
    <d v="2023-01-02T00:00:00"/>
    <s v="C82990"/>
    <x v="5"/>
    <n v="2"/>
    <n v="150.05000000000001"/>
    <s v="727 Main St"/>
    <s v="Credit Card"/>
    <x v="1"/>
    <s v="TRK68574801"/>
    <n v="4"/>
    <s v="SAVE10"/>
    <s v="Facebook"/>
    <n v="300.10000000000002"/>
  </r>
  <r>
    <s v="ORD200646"/>
    <d v="2023-10-27T00:00:00"/>
    <s v="C98761"/>
    <x v="3"/>
    <n v="4"/>
    <n v="498.51"/>
    <s v="804 Main St"/>
    <s v="Debit Card"/>
    <x v="0"/>
    <s v="TRK43262630"/>
    <n v="4"/>
    <s v="SAVE10"/>
    <s v="Google"/>
    <n v="1994.04"/>
  </r>
  <r>
    <s v="ORD200647"/>
    <d v="2025-04-24T00:00:00"/>
    <s v="C54409"/>
    <x v="6"/>
    <n v="3"/>
    <n v="339.39"/>
    <s v="667 Main St"/>
    <s v="Cash"/>
    <x v="2"/>
    <s v="TRK67671316"/>
    <n v="7"/>
    <s v="FREESHIP"/>
    <s v="Google"/>
    <n v="1018.17"/>
  </r>
  <r>
    <s v="ORD200648"/>
    <d v="2025-01-18T00:00:00"/>
    <s v="C89674"/>
    <x v="0"/>
    <n v="2"/>
    <n v="575.83000000000004"/>
    <s v="182 Main St"/>
    <s v="Online"/>
    <x v="3"/>
    <s v="TRK45902512"/>
    <n v="3"/>
    <s v="WINTER15"/>
    <s v="Referral"/>
    <n v="1151.6600000000001"/>
  </r>
  <r>
    <s v="ORD200649"/>
    <d v="2023-12-23T00:00:00"/>
    <s v="C45899"/>
    <x v="0"/>
    <n v="2"/>
    <n v="642.98"/>
    <s v="153 Main St"/>
    <s v="Debit Card"/>
    <x v="2"/>
    <s v="TRK32932093"/>
    <n v="7"/>
    <s v="FREESHIP"/>
    <s v="Email"/>
    <n v="1285.96"/>
  </r>
  <r>
    <s v="ORD200650"/>
    <d v="2023-05-18T00:00:00"/>
    <s v="C74499"/>
    <x v="6"/>
    <n v="2"/>
    <n v="372.23"/>
    <s v="518 Main St"/>
    <s v="Gift Card"/>
    <x v="3"/>
    <s v="TRK93767278"/>
    <n v="7"/>
    <s v="SAVE10"/>
    <s v="Email"/>
    <n v="744.46"/>
  </r>
  <r>
    <s v="ORD200651"/>
    <d v="2024-11-12T00:00:00"/>
    <s v="C81192"/>
    <x v="3"/>
    <n v="3"/>
    <n v="646.34"/>
    <s v="429 Main St"/>
    <s v="Debit Card"/>
    <x v="4"/>
    <s v="TRK76931118"/>
    <n v="5"/>
    <s v="No COUPON"/>
    <s v="Google"/>
    <n v="1939.02"/>
  </r>
  <r>
    <s v="ORD200652"/>
    <d v="2024-06-05T00:00:00"/>
    <s v="C71473"/>
    <x v="3"/>
    <n v="5"/>
    <n v="341.84"/>
    <s v="328 Main St"/>
    <s v="Online"/>
    <x v="0"/>
    <s v="TRK94857335"/>
    <n v="8"/>
    <s v="FREESHIP"/>
    <s v="Instagram"/>
    <n v="1709.2"/>
  </r>
  <r>
    <s v="ORD200653"/>
    <d v="2024-02-25T00:00:00"/>
    <s v="C59338"/>
    <x v="4"/>
    <n v="3"/>
    <n v="690.3"/>
    <s v="747 Main St"/>
    <s v="Credit Card"/>
    <x v="0"/>
    <s v="TRK12902764"/>
    <n v="6"/>
    <s v="WINTER15"/>
    <s v="Google"/>
    <n v="2070.9"/>
  </r>
  <r>
    <s v="ORD200654"/>
    <d v="2023-06-12T00:00:00"/>
    <s v="C62661"/>
    <x v="2"/>
    <n v="3"/>
    <n v="382.37"/>
    <s v="863 Main St"/>
    <s v="Debit Card"/>
    <x v="2"/>
    <s v="TRK25748100"/>
    <n v="8"/>
    <s v="No COUPON"/>
    <s v="Instagram"/>
    <n v="1147.1099999999999"/>
  </r>
  <r>
    <s v="ORD200655"/>
    <d v="2023-03-14T00:00:00"/>
    <s v="C22101"/>
    <x v="3"/>
    <n v="2"/>
    <n v="132.6"/>
    <s v="262 Main St"/>
    <s v="Debit Card"/>
    <x v="1"/>
    <s v="TRK70711522"/>
    <n v="4"/>
    <s v="WINTER15"/>
    <s v="Email"/>
    <n v="265.2"/>
  </r>
  <r>
    <s v="ORD200656"/>
    <d v="2024-01-18T00:00:00"/>
    <s v="C51404"/>
    <x v="0"/>
    <n v="2"/>
    <n v="189.06"/>
    <s v="835 Main St"/>
    <s v="Gift Card"/>
    <x v="0"/>
    <s v="TRK85682500"/>
    <n v="7"/>
    <s v="SAVE10"/>
    <s v="Facebook"/>
    <n v="378.12"/>
  </r>
  <r>
    <s v="ORD200657"/>
    <d v="2023-12-24T00:00:00"/>
    <s v="C19384"/>
    <x v="2"/>
    <n v="4"/>
    <n v="87.79"/>
    <s v="532 Main St"/>
    <s v="Cash"/>
    <x v="1"/>
    <s v="TRK33207064"/>
    <n v="6"/>
    <s v="FREESHIP"/>
    <s v="Instagram"/>
    <n v="351.16"/>
  </r>
  <r>
    <s v="ORD200658"/>
    <d v="2025-04-18T00:00:00"/>
    <s v="C86864"/>
    <x v="4"/>
    <n v="2"/>
    <n v="46.36"/>
    <s v="670 Main St"/>
    <s v="Gift Card"/>
    <x v="2"/>
    <s v="TRK15323191"/>
    <n v="4"/>
    <s v="SAVE10"/>
    <s v="Google"/>
    <n v="92.72"/>
  </r>
  <r>
    <s v="ORD200659"/>
    <d v="2024-10-26T00:00:00"/>
    <s v="C24301"/>
    <x v="1"/>
    <n v="2"/>
    <n v="642.04"/>
    <s v="964 Main St"/>
    <s v="Gift Card"/>
    <x v="3"/>
    <s v="TRK55000075"/>
    <n v="4"/>
    <s v="WINTER15"/>
    <s v="Email"/>
    <n v="1284.08"/>
  </r>
  <r>
    <s v="ORD200660"/>
    <d v="2024-10-19T00:00:00"/>
    <s v="C43842"/>
    <x v="3"/>
    <n v="2"/>
    <n v="651.57000000000005"/>
    <s v="933 Main St"/>
    <s v="Debit Card"/>
    <x v="0"/>
    <s v="TRK54084424"/>
    <n v="7"/>
    <s v="WINTER15"/>
    <s v="Facebook"/>
    <n v="1303.1400000000001"/>
  </r>
  <r>
    <s v="ORD200661"/>
    <d v="2025-02-28T00:00:00"/>
    <s v="C63657"/>
    <x v="2"/>
    <n v="3"/>
    <n v="424.89"/>
    <s v="116 Main St"/>
    <s v="Debit Card"/>
    <x v="1"/>
    <s v="TRK86378984"/>
    <n v="6"/>
    <s v="FREESHIP"/>
    <s v="Google"/>
    <n v="1274.67"/>
  </r>
  <r>
    <s v="ORD200662"/>
    <d v="2023-01-28T00:00:00"/>
    <s v="C98332"/>
    <x v="5"/>
    <n v="3"/>
    <n v="438.89"/>
    <s v="985 Main St"/>
    <s v="Cash"/>
    <x v="2"/>
    <s v="TRK85744797"/>
    <n v="3"/>
    <s v="No COUPON"/>
    <s v="Facebook"/>
    <n v="1316.67"/>
  </r>
  <r>
    <s v="ORD200663"/>
    <d v="2024-04-15T00:00:00"/>
    <s v="C59774"/>
    <x v="0"/>
    <n v="1"/>
    <n v="72.599999999999994"/>
    <s v="941 Main St"/>
    <s v="Debit Card"/>
    <x v="1"/>
    <s v="TRK87635135"/>
    <n v="6"/>
    <s v="FREESHIP"/>
    <s v="Instagram"/>
    <n v="72.599999999999994"/>
  </r>
  <r>
    <s v="ORD200664"/>
    <d v="2024-12-19T00:00:00"/>
    <s v="C14847"/>
    <x v="5"/>
    <n v="4"/>
    <n v="194.75"/>
    <s v="188 Main St"/>
    <s v="Cash"/>
    <x v="0"/>
    <s v="TRK46492755"/>
    <n v="5"/>
    <s v="No COUPON"/>
    <s v="Facebook"/>
    <n v="779"/>
  </r>
  <r>
    <s v="ORD200665"/>
    <d v="2023-05-02T00:00:00"/>
    <s v="C83653"/>
    <x v="2"/>
    <n v="4"/>
    <n v="231.26"/>
    <s v="253 Main St"/>
    <s v="Online"/>
    <x v="0"/>
    <s v="TRK32619935"/>
    <n v="6"/>
    <s v="WINTER15"/>
    <s v="Google"/>
    <n v="925.04"/>
  </r>
  <r>
    <s v="ORD200666"/>
    <d v="2024-08-31T00:00:00"/>
    <s v="C35711"/>
    <x v="0"/>
    <n v="4"/>
    <n v="327.12"/>
    <s v="788 Main St"/>
    <s v="Credit Card"/>
    <x v="1"/>
    <s v="TRK45281495"/>
    <n v="4"/>
    <s v="No COUPON"/>
    <s v="Email"/>
    <n v="1308.48"/>
  </r>
  <r>
    <s v="ORD200667"/>
    <d v="2023-05-03T00:00:00"/>
    <s v="C10477"/>
    <x v="5"/>
    <n v="1"/>
    <n v="466.42"/>
    <s v="172 Main St"/>
    <s v="Gift Card"/>
    <x v="4"/>
    <s v="TRK41505339"/>
    <n v="5"/>
    <s v="SAVE10"/>
    <s v="Email"/>
    <n v="466.42"/>
  </r>
  <r>
    <s v="ORD200668"/>
    <d v="2024-07-05T00:00:00"/>
    <s v="C61257"/>
    <x v="0"/>
    <n v="2"/>
    <n v="253.67"/>
    <s v="981 Main St"/>
    <s v="Cash"/>
    <x v="2"/>
    <s v="TRK25226070"/>
    <n v="3"/>
    <s v="WINTER15"/>
    <s v="Facebook"/>
    <n v="507.34"/>
  </r>
  <r>
    <s v="ORD200669"/>
    <d v="2023-02-05T00:00:00"/>
    <s v="C60547"/>
    <x v="6"/>
    <n v="1"/>
    <n v="257"/>
    <s v="812 Main St"/>
    <s v="Debit Card"/>
    <x v="1"/>
    <s v="TRK65694249"/>
    <n v="5"/>
    <s v="No COUPON"/>
    <s v="Referral"/>
    <n v="257"/>
  </r>
  <r>
    <s v="ORD200670"/>
    <d v="2024-04-18T00:00:00"/>
    <s v="C14576"/>
    <x v="6"/>
    <n v="4"/>
    <n v="539.20000000000005"/>
    <s v="747 Main St"/>
    <s v="Credit Card"/>
    <x v="4"/>
    <s v="TRK21637540"/>
    <n v="8"/>
    <s v="FREESHIP"/>
    <s v="Google"/>
    <n v="2156.8000000000002"/>
  </r>
  <r>
    <s v="ORD200671"/>
    <d v="2023-06-15T00:00:00"/>
    <s v="C49282"/>
    <x v="3"/>
    <n v="5"/>
    <n v="50.74"/>
    <s v="737 Main St"/>
    <s v="Gift Card"/>
    <x v="1"/>
    <s v="TRK88653901"/>
    <n v="7"/>
    <s v="WINTER15"/>
    <s v="Google"/>
    <n v="253.7"/>
  </r>
  <r>
    <s v="ORD200672"/>
    <d v="2023-05-09T00:00:00"/>
    <s v="C14017"/>
    <x v="1"/>
    <n v="2"/>
    <n v="624.16"/>
    <s v="984 Main St"/>
    <s v="Debit Card"/>
    <x v="0"/>
    <s v="TRK71009446"/>
    <n v="2"/>
    <s v="SAVE10"/>
    <s v="Instagram"/>
    <n v="1248.32"/>
  </r>
  <r>
    <s v="ORD200673"/>
    <d v="2023-02-21T00:00:00"/>
    <s v="C46504"/>
    <x v="2"/>
    <n v="2"/>
    <n v="372.92"/>
    <s v="131 Main St"/>
    <s v="Credit Card"/>
    <x v="3"/>
    <s v="TRK95024356"/>
    <n v="7"/>
    <s v="SAVE10"/>
    <s v="Email"/>
    <n v="745.84"/>
  </r>
  <r>
    <s v="ORD200674"/>
    <d v="2024-01-09T00:00:00"/>
    <s v="C56928"/>
    <x v="5"/>
    <n v="4"/>
    <n v="358.75"/>
    <s v="860 Main St"/>
    <s v="Gift Card"/>
    <x v="3"/>
    <s v="TRK57792939"/>
    <n v="9"/>
    <s v="SAVE10"/>
    <s v="Facebook"/>
    <n v="1435"/>
  </r>
  <r>
    <s v="ORD200675"/>
    <d v="2024-08-06T00:00:00"/>
    <s v="C97749"/>
    <x v="6"/>
    <n v="3"/>
    <n v="342.02"/>
    <s v="906 Main St"/>
    <s v="Debit Card"/>
    <x v="4"/>
    <s v="TRK90233116"/>
    <n v="5"/>
    <s v="No COUPON"/>
    <s v="Email"/>
    <n v="1026.06"/>
  </r>
  <r>
    <s v="ORD200676"/>
    <d v="2025-06-23T00:00:00"/>
    <s v="C90431"/>
    <x v="5"/>
    <n v="2"/>
    <n v="422.34"/>
    <s v="985 Main St"/>
    <s v="Credit Card"/>
    <x v="1"/>
    <s v="TRK44151723"/>
    <n v="4"/>
    <s v="FREESHIP"/>
    <s v="Instagram"/>
    <n v="844.68"/>
  </r>
  <r>
    <s v="ORD200677"/>
    <d v="2025-04-03T00:00:00"/>
    <s v="C56722"/>
    <x v="2"/>
    <n v="5"/>
    <n v="22.07"/>
    <s v="179 Main St"/>
    <s v="Online"/>
    <x v="1"/>
    <s v="TRK78778569"/>
    <n v="7"/>
    <s v="FREESHIP"/>
    <s v="Instagram"/>
    <n v="110.35"/>
  </r>
  <r>
    <s v="ORD200678"/>
    <d v="2024-11-24T00:00:00"/>
    <s v="C40863"/>
    <x v="3"/>
    <n v="3"/>
    <n v="163.13"/>
    <s v="457 Main St"/>
    <s v="Gift Card"/>
    <x v="0"/>
    <s v="TRK20553345"/>
    <n v="5"/>
    <s v="WINTER15"/>
    <s v="Facebook"/>
    <n v="489.39"/>
  </r>
  <r>
    <s v="ORD200679"/>
    <d v="2023-02-02T00:00:00"/>
    <s v="C40798"/>
    <x v="2"/>
    <n v="3"/>
    <n v="360.66"/>
    <s v="304 Main St"/>
    <s v="Online"/>
    <x v="2"/>
    <s v="TRK66106697"/>
    <n v="5"/>
    <s v="FREESHIP"/>
    <s v="Instagram"/>
    <n v="1081.98"/>
  </r>
  <r>
    <s v="ORD200680"/>
    <d v="2023-08-27T00:00:00"/>
    <s v="C16702"/>
    <x v="0"/>
    <n v="3"/>
    <n v="463.39"/>
    <s v="694 Main St"/>
    <s v="Credit Card"/>
    <x v="2"/>
    <s v="TRK16953491"/>
    <n v="3"/>
    <s v="No COUPON"/>
    <s v="Facebook"/>
    <n v="1390.17"/>
  </r>
  <r>
    <s v="ORD200681"/>
    <d v="2024-01-30T00:00:00"/>
    <s v="C38262"/>
    <x v="2"/>
    <n v="1"/>
    <n v="155.27000000000001"/>
    <s v="548 Main St"/>
    <s v="Debit Card"/>
    <x v="0"/>
    <s v="TRK47300502"/>
    <n v="6"/>
    <s v="No COUPON"/>
    <s v="Email"/>
    <n v="155.27000000000001"/>
  </r>
  <r>
    <s v="ORD200682"/>
    <d v="2023-07-23T00:00:00"/>
    <s v="C50274"/>
    <x v="0"/>
    <n v="3"/>
    <n v="509.42"/>
    <s v="449 Main St"/>
    <s v="Credit Card"/>
    <x v="1"/>
    <s v="TRK91729086"/>
    <n v="5"/>
    <s v="FREESHIP"/>
    <s v="Google"/>
    <n v="1528.26"/>
  </r>
  <r>
    <s v="ORD200683"/>
    <d v="2025-05-18T00:00:00"/>
    <s v="C91591"/>
    <x v="6"/>
    <n v="4"/>
    <n v="652.48"/>
    <s v="887 Main St"/>
    <s v="Cash"/>
    <x v="4"/>
    <s v="TRK23554043"/>
    <n v="5"/>
    <s v="FREESHIP"/>
    <s v="Instagram"/>
    <n v="2609.92"/>
  </r>
  <r>
    <s v="ORD200684"/>
    <d v="2024-09-22T00:00:00"/>
    <s v="C96583"/>
    <x v="4"/>
    <n v="4"/>
    <n v="34.840000000000003"/>
    <s v="288 Main St"/>
    <s v="Credit Card"/>
    <x v="0"/>
    <s v="TRK64353241"/>
    <n v="8"/>
    <s v="No COUPON"/>
    <s v="Email"/>
    <n v="139.36000000000001"/>
  </r>
  <r>
    <s v="ORD200685"/>
    <d v="2025-02-07T00:00:00"/>
    <s v="C64579"/>
    <x v="6"/>
    <n v="1"/>
    <n v="234.37"/>
    <s v="638 Main St"/>
    <s v="Debit Card"/>
    <x v="0"/>
    <s v="TRK10276565"/>
    <n v="5"/>
    <s v="FREESHIP"/>
    <s v="Email"/>
    <n v="234.37"/>
  </r>
  <r>
    <s v="ORD200686"/>
    <d v="2023-10-09T00:00:00"/>
    <s v="C41903"/>
    <x v="6"/>
    <n v="3"/>
    <n v="53.6"/>
    <s v="525 Main St"/>
    <s v="Cash"/>
    <x v="4"/>
    <s v="TRK59112382"/>
    <n v="4"/>
    <s v="WINTER15"/>
    <s v="Facebook"/>
    <n v="160.80000000000001"/>
  </r>
  <r>
    <s v="ORD200687"/>
    <d v="2023-09-13T00:00:00"/>
    <s v="C19742"/>
    <x v="2"/>
    <n v="1"/>
    <n v="332.09"/>
    <s v="408 Main St"/>
    <s v="Gift Card"/>
    <x v="2"/>
    <s v="TRK68845230"/>
    <n v="5"/>
    <s v="FREESHIP"/>
    <s v="Instagram"/>
    <n v="332.09"/>
  </r>
  <r>
    <s v="ORD200688"/>
    <d v="2024-03-06T00:00:00"/>
    <s v="C20077"/>
    <x v="0"/>
    <n v="4"/>
    <n v="593.22"/>
    <s v="154 Main St"/>
    <s v="Credit Card"/>
    <x v="1"/>
    <s v="TRK36415742"/>
    <n v="8"/>
    <s v="WINTER15"/>
    <s v="Facebook"/>
    <n v="2372.88"/>
  </r>
  <r>
    <s v="ORD200689"/>
    <d v="2023-08-29T00:00:00"/>
    <s v="C13186"/>
    <x v="2"/>
    <n v="2"/>
    <n v="444.84"/>
    <s v="787 Main St"/>
    <s v="Online"/>
    <x v="0"/>
    <s v="TRK56967415"/>
    <n v="7"/>
    <s v="No COUPON"/>
    <s v="Facebook"/>
    <n v="889.68"/>
  </r>
  <r>
    <s v="ORD200690"/>
    <d v="2024-07-12T00:00:00"/>
    <s v="C29318"/>
    <x v="0"/>
    <n v="1"/>
    <n v="24.48"/>
    <s v="128 Main St"/>
    <s v="Gift Card"/>
    <x v="2"/>
    <s v="TRK88666721"/>
    <n v="1"/>
    <s v="No COUPON"/>
    <s v="Instagram"/>
    <n v="24.48"/>
  </r>
  <r>
    <s v="ORD200691"/>
    <d v="2024-11-24T00:00:00"/>
    <s v="C36137"/>
    <x v="5"/>
    <n v="3"/>
    <n v="239.08"/>
    <s v="396 Main St"/>
    <s v="Cash"/>
    <x v="0"/>
    <s v="TRK57376416"/>
    <n v="8"/>
    <s v="No COUPON"/>
    <s v="Google"/>
    <n v="717.24"/>
  </r>
  <r>
    <s v="ORD200692"/>
    <d v="2023-01-23T00:00:00"/>
    <s v="C25534"/>
    <x v="6"/>
    <n v="5"/>
    <n v="196.84"/>
    <s v="319 Main St"/>
    <s v="Credit Card"/>
    <x v="3"/>
    <s v="TRK68347402"/>
    <n v="5"/>
    <s v="WINTER15"/>
    <s v="Instagram"/>
    <n v="984.2"/>
  </r>
  <r>
    <s v="ORD200693"/>
    <d v="2025-03-12T00:00:00"/>
    <s v="C62070"/>
    <x v="0"/>
    <n v="1"/>
    <n v="176.58"/>
    <s v="674 Main St"/>
    <s v="Debit Card"/>
    <x v="2"/>
    <s v="TRK10267127"/>
    <n v="4"/>
    <s v="No COUPON"/>
    <s v="Referral"/>
    <n v="176.58"/>
  </r>
  <r>
    <s v="ORD200694"/>
    <d v="2023-10-02T00:00:00"/>
    <s v="C92049"/>
    <x v="4"/>
    <n v="4"/>
    <n v="666.52"/>
    <s v="619 Main St"/>
    <s v="Cash"/>
    <x v="0"/>
    <s v="TRK32287092"/>
    <n v="8"/>
    <s v="FREESHIP"/>
    <s v="Email"/>
    <n v="2666.08"/>
  </r>
  <r>
    <s v="ORD200695"/>
    <d v="2024-11-23T00:00:00"/>
    <s v="C52604"/>
    <x v="4"/>
    <n v="5"/>
    <n v="101.3"/>
    <s v="553 Main St"/>
    <s v="Online"/>
    <x v="0"/>
    <s v="TRK48839788"/>
    <n v="7"/>
    <s v="FREESHIP"/>
    <s v="Email"/>
    <n v="506.5"/>
  </r>
  <r>
    <s v="ORD200696"/>
    <d v="2023-07-02T00:00:00"/>
    <s v="C22429"/>
    <x v="3"/>
    <n v="4"/>
    <n v="151.19999999999999"/>
    <s v="965 Main St"/>
    <s v="Gift Card"/>
    <x v="4"/>
    <s v="TRK38572927"/>
    <n v="9"/>
    <s v="WINTER15"/>
    <s v="Facebook"/>
    <n v="604.79999999999995"/>
  </r>
  <r>
    <s v="ORD200697"/>
    <d v="2025-02-04T00:00:00"/>
    <s v="C27430"/>
    <x v="4"/>
    <n v="5"/>
    <n v="94.85"/>
    <s v="788 Main St"/>
    <s v="Cash"/>
    <x v="0"/>
    <s v="TRK45025840"/>
    <n v="6"/>
    <s v="WINTER15"/>
    <s v="Email"/>
    <n v="474.25"/>
  </r>
  <r>
    <s v="ORD200698"/>
    <d v="2023-01-04T00:00:00"/>
    <s v="C44366"/>
    <x v="5"/>
    <n v="2"/>
    <n v="388.22"/>
    <s v="169 Main St"/>
    <s v="Cash"/>
    <x v="3"/>
    <s v="TRK48658394"/>
    <n v="2"/>
    <s v="WINTER15"/>
    <s v="Instagram"/>
    <n v="776.44"/>
  </r>
  <r>
    <s v="ORD200699"/>
    <d v="2023-11-13T00:00:00"/>
    <s v="C36813"/>
    <x v="5"/>
    <n v="3"/>
    <n v="614.15"/>
    <s v="897 Main St"/>
    <s v="Gift Card"/>
    <x v="1"/>
    <s v="TRK84088900"/>
    <n v="3"/>
    <s v="No COUPON"/>
    <s v="Facebook"/>
    <n v="1842.45"/>
  </r>
  <r>
    <s v="ORD200700"/>
    <d v="2024-09-25T00:00:00"/>
    <s v="C40201"/>
    <x v="5"/>
    <n v="2"/>
    <n v="92.91"/>
    <s v="555 Main St"/>
    <s v="Cash"/>
    <x v="2"/>
    <s v="TRK30198779"/>
    <n v="3"/>
    <s v="WINTER15"/>
    <s v="Instagram"/>
    <n v="185.82"/>
  </r>
  <r>
    <s v="ORD200701"/>
    <d v="2024-06-23T00:00:00"/>
    <s v="C75456"/>
    <x v="0"/>
    <n v="3"/>
    <n v="92.22"/>
    <s v="115 Main St"/>
    <s v="Credit Card"/>
    <x v="3"/>
    <s v="TRK90519490"/>
    <n v="5"/>
    <s v="FREESHIP"/>
    <s v="Email"/>
    <n v="276.66000000000003"/>
  </r>
  <r>
    <s v="ORD200702"/>
    <d v="2024-06-09T00:00:00"/>
    <s v="C33315"/>
    <x v="4"/>
    <n v="3"/>
    <n v="562.54999999999995"/>
    <s v="154 Main St"/>
    <s v="Debit Card"/>
    <x v="2"/>
    <s v="TRK43589369"/>
    <n v="6"/>
    <s v="No COUPON"/>
    <s v="Email"/>
    <n v="1687.65"/>
  </r>
  <r>
    <s v="ORD200703"/>
    <d v="2023-03-22T00:00:00"/>
    <s v="C89336"/>
    <x v="6"/>
    <n v="1"/>
    <n v="92.79"/>
    <s v="799 Main St"/>
    <s v="Cash"/>
    <x v="4"/>
    <s v="TRK47665103"/>
    <n v="3"/>
    <s v="WINTER15"/>
    <s v="Email"/>
    <n v="92.79"/>
  </r>
  <r>
    <s v="ORD200704"/>
    <d v="2023-06-03T00:00:00"/>
    <s v="C96034"/>
    <x v="6"/>
    <n v="4"/>
    <n v="30.27"/>
    <s v="819 Main St"/>
    <s v="Online"/>
    <x v="3"/>
    <s v="TRK87261034"/>
    <n v="9"/>
    <s v="FREESHIP"/>
    <s v="Google"/>
    <n v="121.08"/>
  </r>
  <r>
    <s v="ORD200705"/>
    <d v="2025-03-30T00:00:00"/>
    <s v="C50114"/>
    <x v="0"/>
    <n v="2"/>
    <n v="49.08"/>
    <s v="420 Main St"/>
    <s v="Debit Card"/>
    <x v="2"/>
    <s v="TRK20214786"/>
    <n v="7"/>
    <s v="FREESHIP"/>
    <s v="Instagram"/>
    <n v="98.16"/>
  </r>
  <r>
    <s v="ORD200706"/>
    <d v="2025-03-02T00:00:00"/>
    <s v="C85330"/>
    <x v="6"/>
    <n v="5"/>
    <n v="228.09"/>
    <s v="969 Main St"/>
    <s v="Gift Card"/>
    <x v="2"/>
    <s v="TRK97693301"/>
    <n v="9"/>
    <s v="FREESHIP"/>
    <s v="Facebook"/>
    <n v="1140.45"/>
  </r>
  <r>
    <s v="ORD200707"/>
    <d v="2024-11-01T00:00:00"/>
    <s v="C31761"/>
    <x v="3"/>
    <n v="4"/>
    <n v="650.04"/>
    <s v="989 Main St"/>
    <s v="Gift Card"/>
    <x v="1"/>
    <s v="TRK17628852"/>
    <n v="6"/>
    <s v="SAVE10"/>
    <s v="Facebook"/>
    <n v="2600.16"/>
  </r>
  <r>
    <s v="ORD200708"/>
    <d v="2025-03-04T00:00:00"/>
    <s v="C25268"/>
    <x v="4"/>
    <n v="1"/>
    <n v="665.11"/>
    <s v="788 Main St"/>
    <s v="Cash"/>
    <x v="4"/>
    <s v="TRK20481215"/>
    <n v="3"/>
    <s v="FREESHIP"/>
    <s v="Instagram"/>
    <n v="665.11"/>
  </r>
  <r>
    <s v="ORD200709"/>
    <d v="2024-12-07T00:00:00"/>
    <s v="C17132"/>
    <x v="6"/>
    <n v="1"/>
    <n v="386.03"/>
    <s v="855 Main St"/>
    <s v="Online"/>
    <x v="4"/>
    <s v="TRK37504692"/>
    <n v="4"/>
    <s v="FREESHIP"/>
    <s v="Google"/>
    <n v="386.03"/>
  </r>
  <r>
    <s v="ORD200710"/>
    <d v="2024-07-22T00:00:00"/>
    <s v="C48790"/>
    <x v="5"/>
    <n v="5"/>
    <n v="21.54"/>
    <s v="113 Main St"/>
    <s v="Gift Card"/>
    <x v="2"/>
    <s v="TRK19086608"/>
    <n v="10"/>
    <s v="No COUPON"/>
    <s v="Google"/>
    <n v="107.7"/>
  </r>
  <r>
    <s v="ORD200711"/>
    <d v="2024-07-04T00:00:00"/>
    <s v="C61070"/>
    <x v="2"/>
    <n v="2"/>
    <n v="475.78"/>
    <s v="632 Main St"/>
    <s v="Online"/>
    <x v="0"/>
    <s v="TRK90764894"/>
    <n v="2"/>
    <s v="WINTER15"/>
    <s v="Google"/>
    <n v="951.56"/>
  </r>
  <r>
    <s v="ORD200712"/>
    <d v="2024-01-09T00:00:00"/>
    <s v="C56969"/>
    <x v="2"/>
    <n v="2"/>
    <n v="68.400000000000006"/>
    <s v="993 Main St"/>
    <s v="Gift Card"/>
    <x v="4"/>
    <s v="TRK10513339"/>
    <n v="7"/>
    <s v="FREESHIP"/>
    <s v="Email"/>
    <n v="136.80000000000001"/>
  </r>
  <r>
    <s v="ORD200713"/>
    <d v="2025-06-21T00:00:00"/>
    <s v="C65056"/>
    <x v="2"/>
    <n v="4"/>
    <n v="532.49"/>
    <s v="638 Main St"/>
    <s v="Online"/>
    <x v="1"/>
    <s v="TRK31705278"/>
    <n v="6"/>
    <s v="SAVE10"/>
    <s v="Facebook"/>
    <n v="2129.96"/>
  </r>
  <r>
    <s v="ORD200714"/>
    <d v="2023-04-21T00:00:00"/>
    <s v="C84888"/>
    <x v="5"/>
    <n v="1"/>
    <n v="51.73"/>
    <s v="278 Main St"/>
    <s v="Debit Card"/>
    <x v="4"/>
    <s v="TRK23612847"/>
    <n v="1"/>
    <s v="FREESHIP"/>
    <s v="Facebook"/>
    <n v="51.73"/>
  </r>
  <r>
    <s v="ORD200715"/>
    <d v="2024-07-26T00:00:00"/>
    <s v="C68266"/>
    <x v="4"/>
    <n v="3"/>
    <n v="653.63"/>
    <s v="281 Main St"/>
    <s v="Online"/>
    <x v="3"/>
    <s v="TRK96161062"/>
    <n v="7"/>
    <s v="FREESHIP"/>
    <s v="Email"/>
    <n v="1960.89"/>
  </r>
  <r>
    <s v="ORD200716"/>
    <d v="2024-06-13T00:00:00"/>
    <s v="C84115"/>
    <x v="3"/>
    <n v="3"/>
    <n v="454.29"/>
    <s v="891 Main St"/>
    <s v="Credit Card"/>
    <x v="4"/>
    <s v="TRK25466842"/>
    <n v="4"/>
    <s v="WINTER15"/>
    <s v="Google"/>
    <n v="1362.87"/>
  </r>
  <r>
    <s v="ORD200717"/>
    <d v="2023-10-16T00:00:00"/>
    <s v="C50087"/>
    <x v="3"/>
    <n v="3"/>
    <n v="122.11"/>
    <s v="707 Main St"/>
    <s v="Online"/>
    <x v="3"/>
    <s v="TRK31143760"/>
    <n v="4"/>
    <s v="WINTER15"/>
    <s v="Email"/>
    <n v="366.33"/>
  </r>
  <r>
    <s v="ORD200718"/>
    <d v="2023-04-08T00:00:00"/>
    <s v="C16790"/>
    <x v="5"/>
    <n v="4"/>
    <n v="64.739999999999995"/>
    <s v="718 Main St"/>
    <s v="Gift Card"/>
    <x v="1"/>
    <s v="TRK91791367"/>
    <n v="8"/>
    <s v="SAVE10"/>
    <s v="Google"/>
    <n v="258.95999999999998"/>
  </r>
  <r>
    <s v="ORD200719"/>
    <d v="2024-01-21T00:00:00"/>
    <s v="C46920"/>
    <x v="5"/>
    <n v="2"/>
    <n v="681.06"/>
    <s v="703 Main St"/>
    <s v="Debit Card"/>
    <x v="0"/>
    <s v="TRK86403837"/>
    <n v="3"/>
    <s v="FREESHIP"/>
    <s v="Facebook"/>
    <n v="1362.12"/>
  </r>
  <r>
    <s v="ORD200720"/>
    <d v="2023-09-21T00:00:00"/>
    <s v="C12740"/>
    <x v="6"/>
    <n v="5"/>
    <n v="128.94999999999999"/>
    <s v="305 Main St"/>
    <s v="Cash"/>
    <x v="4"/>
    <s v="TRK98506513"/>
    <n v="10"/>
    <s v="FREESHIP"/>
    <s v="Instagram"/>
    <n v="644.75"/>
  </r>
  <r>
    <s v="ORD200721"/>
    <d v="2024-03-18T00:00:00"/>
    <s v="C46557"/>
    <x v="6"/>
    <n v="2"/>
    <n v="118.59"/>
    <s v="890 Main St"/>
    <s v="Credit Card"/>
    <x v="3"/>
    <s v="TRK56110689"/>
    <n v="2"/>
    <s v="No COUPON"/>
    <s v="Email"/>
    <n v="237.18"/>
  </r>
  <r>
    <s v="ORD200722"/>
    <d v="2024-11-15T00:00:00"/>
    <s v="C58156"/>
    <x v="4"/>
    <n v="1"/>
    <n v="95.1"/>
    <s v="516 Main St"/>
    <s v="Gift Card"/>
    <x v="4"/>
    <s v="TRK49719458"/>
    <n v="1"/>
    <s v="WINTER15"/>
    <s v="Instagram"/>
    <n v="95.1"/>
  </r>
  <r>
    <s v="ORD200723"/>
    <d v="2023-12-09T00:00:00"/>
    <s v="C14455"/>
    <x v="6"/>
    <n v="3"/>
    <n v="54.95"/>
    <s v="385 Main St"/>
    <s v="Cash"/>
    <x v="2"/>
    <s v="TRK50933724"/>
    <n v="8"/>
    <s v="SAVE10"/>
    <s v="Referral"/>
    <n v="164.85"/>
  </r>
  <r>
    <s v="ORD200724"/>
    <d v="2024-10-18T00:00:00"/>
    <s v="C63150"/>
    <x v="4"/>
    <n v="3"/>
    <n v="136.97"/>
    <s v="326 Main St"/>
    <s v="Credit Card"/>
    <x v="2"/>
    <s v="TRK19348078"/>
    <n v="4"/>
    <s v="FREESHIP"/>
    <s v="Referral"/>
    <n v="410.91"/>
  </r>
  <r>
    <s v="ORD200725"/>
    <d v="2023-03-12T00:00:00"/>
    <s v="C95269"/>
    <x v="3"/>
    <n v="2"/>
    <n v="194.85"/>
    <s v="372 Main St"/>
    <s v="Gift Card"/>
    <x v="2"/>
    <s v="TRK45670926"/>
    <n v="5"/>
    <s v="No COUPON"/>
    <s v="Referral"/>
    <n v="389.7"/>
  </r>
  <r>
    <s v="ORD200726"/>
    <d v="2024-10-25T00:00:00"/>
    <s v="C18105"/>
    <x v="5"/>
    <n v="4"/>
    <n v="583.02"/>
    <s v="338 Main St"/>
    <s v="Online"/>
    <x v="3"/>
    <s v="TRK94006117"/>
    <n v="4"/>
    <s v="FREESHIP"/>
    <s v="Facebook"/>
    <n v="2332.08"/>
  </r>
  <r>
    <s v="ORD200727"/>
    <d v="2024-09-29T00:00:00"/>
    <s v="C29063"/>
    <x v="3"/>
    <n v="5"/>
    <n v="95.75"/>
    <s v="379 Main St"/>
    <s v="Online"/>
    <x v="0"/>
    <s v="TRK92745947"/>
    <n v="8"/>
    <s v="SAVE10"/>
    <s v="Instagram"/>
    <n v="478.75"/>
  </r>
  <r>
    <s v="ORD200728"/>
    <d v="2024-07-29T00:00:00"/>
    <s v="C10154"/>
    <x v="6"/>
    <n v="4"/>
    <n v="325.76"/>
    <s v="827 Main St"/>
    <s v="Gift Card"/>
    <x v="0"/>
    <s v="TRK79793300"/>
    <n v="8"/>
    <s v="WINTER15"/>
    <s v="Email"/>
    <n v="1303.04"/>
  </r>
  <r>
    <s v="ORD200729"/>
    <d v="2023-09-08T00:00:00"/>
    <s v="C36997"/>
    <x v="1"/>
    <n v="4"/>
    <n v="186.41"/>
    <s v="819 Main St"/>
    <s v="Gift Card"/>
    <x v="4"/>
    <s v="TRK92794872"/>
    <n v="6"/>
    <s v="SAVE10"/>
    <s v="Google"/>
    <n v="745.64"/>
  </r>
  <r>
    <s v="ORD200730"/>
    <d v="2025-02-22T00:00:00"/>
    <s v="C77357"/>
    <x v="1"/>
    <n v="1"/>
    <n v="474.6"/>
    <s v="407 Main St"/>
    <s v="Debit Card"/>
    <x v="3"/>
    <s v="TRK91943923"/>
    <n v="4"/>
    <s v="SAVE10"/>
    <s v="Email"/>
    <n v="474.6"/>
  </r>
  <r>
    <s v="ORD200731"/>
    <d v="2024-06-07T00:00:00"/>
    <s v="C71310"/>
    <x v="4"/>
    <n v="5"/>
    <n v="584.46"/>
    <s v="308 Main St"/>
    <s v="Credit Card"/>
    <x v="2"/>
    <s v="TRK48292586"/>
    <n v="8"/>
    <s v="No COUPON"/>
    <s v="Email"/>
    <n v="2922.3"/>
  </r>
  <r>
    <s v="ORD200732"/>
    <d v="2025-03-07T00:00:00"/>
    <s v="C80987"/>
    <x v="5"/>
    <n v="1"/>
    <n v="132.05000000000001"/>
    <s v="787 Main St"/>
    <s v="Online"/>
    <x v="3"/>
    <s v="TRK42187776"/>
    <n v="2"/>
    <s v="No COUPON"/>
    <s v="Google"/>
    <n v="132.05000000000001"/>
  </r>
  <r>
    <s v="ORD200733"/>
    <d v="2023-12-04T00:00:00"/>
    <s v="C90757"/>
    <x v="2"/>
    <n v="4"/>
    <n v="494.84"/>
    <s v="694 Main St"/>
    <s v="Cash"/>
    <x v="2"/>
    <s v="TRK87991608"/>
    <n v="8"/>
    <s v="SAVE10"/>
    <s v="Email"/>
    <n v="1979.36"/>
  </r>
  <r>
    <s v="ORD200734"/>
    <d v="2024-01-23T00:00:00"/>
    <s v="C51898"/>
    <x v="4"/>
    <n v="4"/>
    <n v="224.61"/>
    <s v="630 Main St"/>
    <s v="Credit Card"/>
    <x v="2"/>
    <s v="TRK19767885"/>
    <n v="6"/>
    <s v="WINTER15"/>
    <s v="Facebook"/>
    <n v="898.44"/>
  </r>
  <r>
    <s v="ORD200735"/>
    <d v="2024-06-28T00:00:00"/>
    <s v="C94508"/>
    <x v="0"/>
    <n v="4"/>
    <n v="44.07"/>
    <s v="359 Main St"/>
    <s v="Debit Card"/>
    <x v="4"/>
    <s v="TRK13443264"/>
    <n v="6"/>
    <s v="No COUPON"/>
    <s v="Email"/>
    <n v="176.28"/>
  </r>
  <r>
    <s v="ORD200736"/>
    <d v="2024-02-09T00:00:00"/>
    <s v="C59441"/>
    <x v="0"/>
    <n v="5"/>
    <n v="418.53"/>
    <s v="696 Main St"/>
    <s v="Credit Card"/>
    <x v="4"/>
    <s v="TRK66186874"/>
    <n v="6"/>
    <s v="FREESHIP"/>
    <s v="Google"/>
    <n v="2092.65"/>
  </r>
  <r>
    <s v="ORD200737"/>
    <d v="2024-01-03T00:00:00"/>
    <s v="C91029"/>
    <x v="1"/>
    <n v="4"/>
    <n v="532.87"/>
    <s v="972 Main St"/>
    <s v="Cash"/>
    <x v="4"/>
    <s v="TRK25501930"/>
    <n v="9"/>
    <s v="FREESHIP"/>
    <s v="Instagram"/>
    <n v="2131.48"/>
  </r>
  <r>
    <s v="ORD200738"/>
    <d v="2025-06-04T00:00:00"/>
    <s v="C96261"/>
    <x v="1"/>
    <n v="2"/>
    <n v="485.37"/>
    <s v="264 Main St"/>
    <s v="Credit Card"/>
    <x v="0"/>
    <s v="TRK44998396"/>
    <n v="5"/>
    <s v="SAVE10"/>
    <s v="Email"/>
    <n v="970.74"/>
  </r>
  <r>
    <s v="ORD200739"/>
    <d v="2024-06-13T00:00:00"/>
    <s v="C35123"/>
    <x v="1"/>
    <n v="4"/>
    <n v="386.73"/>
    <s v="513 Main St"/>
    <s v="Cash"/>
    <x v="3"/>
    <s v="TRK58979275"/>
    <n v="4"/>
    <s v="SAVE10"/>
    <s v="Facebook"/>
    <n v="1546.92"/>
  </r>
  <r>
    <s v="ORD200740"/>
    <d v="2024-07-20T00:00:00"/>
    <s v="C10892"/>
    <x v="6"/>
    <n v="2"/>
    <n v="377.47"/>
    <s v="433 Main St"/>
    <s v="Cash"/>
    <x v="4"/>
    <s v="TRK76154554"/>
    <n v="7"/>
    <s v="No COUPON"/>
    <s v="Google"/>
    <n v="754.94"/>
  </r>
  <r>
    <s v="ORD200741"/>
    <d v="2025-01-23T00:00:00"/>
    <s v="C99683"/>
    <x v="0"/>
    <n v="5"/>
    <n v="332.64"/>
    <s v="945 Main St"/>
    <s v="Gift Card"/>
    <x v="3"/>
    <s v="TRK87305883"/>
    <n v="10"/>
    <s v="No COUPON"/>
    <s v="Referral"/>
    <n v="1663.2"/>
  </r>
  <r>
    <s v="ORD200742"/>
    <d v="2024-11-30T00:00:00"/>
    <s v="C41974"/>
    <x v="5"/>
    <n v="3"/>
    <n v="699.93"/>
    <s v="726 Main St"/>
    <s v="Cash"/>
    <x v="2"/>
    <s v="TRK48051468"/>
    <n v="7"/>
    <s v="SAVE10"/>
    <s v="Google"/>
    <n v="2099.79"/>
  </r>
  <r>
    <s v="ORD200743"/>
    <d v="2024-09-30T00:00:00"/>
    <s v="C23978"/>
    <x v="0"/>
    <n v="1"/>
    <n v="576.35"/>
    <s v="549 Main St"/>
    <s v="Gift Card"/>
    <x v="2"/>
    <s v="TRK87090813"/>
    <n v="1"/>
    <s v="WINTER15"/>
    <s v="Instagram"/>
    <n v="576.35"/>
  </r>
  <r>
    <s v="ORD200744"/>
    <d v="2024-06-12T00:00:00"/>
    <s v="C10642"/>
    <x v="2"/>
    <n v="2"/>
    <n v="461.37"/>
    <s v="200 Main St"/>
    <s v="Cash"/>
    <x v="3"/>
    <s v="TRK98725693"/>
    <n v="5"/>
    <s v="SAVE10"/>
    <s v="Google"/>
    <n v="922.74"/>
  </r>
  <r>
    <s v="ORD200745"/>
    <d v="2023-03-02T00:00:00"/>
    <s v="C73813"/>
    <x v="4"/>
    <n v="4"/>
    <n v="111.3"/>
    <s v="364 Main St"/>
    <s v="Debit Card"/>
    <x v="4"/>
    <s v="TRK89906749"/>
    <n v="7"/>
    <s v="FREESHIP"/>
    <s v="Email"/>
    <n v="445.2"/>
  </r>
  <r>
    <s v="ORD200746"/>
    <d v="2025-02-24T00:00:00"/>
    <s v="C32183"/>
    <x v="6"/>
    <n v="3"/>
    <n v="661.89"/>
    <s v="551 Main St"/>
    <s v="Online"/>
    <x v="1"/>
    <s v="TRK76287027"/>
    <n v="6"/>
    <s v="WINTER15"/>
    <s v="Referral"/>
    <n v="1985.67"/>
  </r>
  <r>
    <s v="ORD200747"/>
    <d v="2025-03-12T00:00:00"/>
    <s v="C54277"/>
    <x v="2"/>
    <n v="2"/>
    <n v="259.58"/>
    <s v="940 Main St"/>
    <s v="Debit Card"/>
    <x v="3"/>
    <s v="TRK26500181"/>
    <n v="7"/>
    <s v="FREESHIP"/>
    <s v="Instagram"/>
    <n v="519.16"/>
  </r>
  <r>
    <s v="ORD200748"/>
    <d v="2024-07-15T00:00:00"/>
    <s v="C56553"/>
    <x v="2"/>
    <n v="3"/>
    <n v="70.81"/>
    <s v="249 Main St"/>
    <s v="Credit Card"/>
    <x v="0"/>
    <s v="TRK37667360"/>
    <n v="8"/>
    <s v="FREESHIP"/>
    <s v="Referral"/>
    <n v="212.43"/>
  </r>
  <r>
    <s v="ORD200749"/>
    <d v="2025-04-13T00:00:00"/>
    <s v="C17551"/>
    <x v="5"/>
    <n v="1"/>
    <n v="518.39"/>
    <s v="997 Main St"/>
    <s v="Debit Card"/>
    <x v="4"/>
    <s v="TRK88797170"/>
    <n v="4"/>
    <s v="FREESHIP"/>
    <s v="Instagram"/>
    <n v="518.39"/>
  </r>
  <r>
    <s v="ORD200750"/>
    <d v="2023-01-14T00:00:00"/>
    <s v="C14737"/>
    <x v="2"/>
    <n v="4"/>
    <n v="145.41"/>
    <s v="637 Main St"/>
    <s v="Credit Card"/>
    <x v="2"/>
    <s v="TRK10295115"/>
    <n v="7"/>
    <s v="FREESHIP"/>
    <s v="Email"/>
    <n v="581.64"/>
  </r>
  <r>
    <s v="ORD200751"/>
    <d v="2023-01-24T00:00:00"/>
    <s v="C35168"/>
    <x v="2"/>
    <n v="2"/>
    <n v="599.86"/>
    <s v="455 Main St"/>
    <s v="Gift Card"/>
    <x v="4"/>
    <s v="TRK76960854"/>
    <n v="7"/>
    <s v="FREESHIP"/>
    <s v="Facebook"/>
    <n v="1199.72"/>
  </r>
  <r>
    <s v="ORD200752"/>
    <d v="2024-10-03T00:00:00"/>
    <s v="C82217"/>
    <x v="1"/>
    <n v="4"/>
    <n v="429.37"/>
    <s v="299 Main St"/>
    <s v="Credit Card"/>
    <x v="3"/>
    <s v="TRK33305694"/>
    <n v="8"/>
    <s v="FREESHIP"/>
    <s v="Google"/>
    <n v="1717.48"/>
  </r>
  <r>
    <s v="ORD200753"/>
    <d v="2024-04-24T00:00:00"/>
    <s v="C42270"/>
    <x v="1"/>
    <n v="2"/>
    <n v="241.49"/>
    <s v="864 Main St"/>
    <s v="Debit Card"/>
    <x v="2"/>
    <s v="TRK72697796"/>
    <n v="7"/>
    <s v="FREESHIP"/>
    <s v="Instagram"/>
    <n v="482.98"/>
  </r>
  <r>
    <s v="ORD200754"/>
    <d v="2025-05-31T00:00:00"/>
    <s v="C48846"/>
    <x v="4"/>
    <n v="2"/>
    <n v="452.05"/>
    <s v="983 Main St"/>
    <s v="Credit Card"/>
    <x v="2"/>
    <s v="TRK52804097"/>
    <n v="3"/>
    <s v="WINTER15"/>
    <s v="Email"/>
    <n v="904.1"/>
  </r>
  <r>
    <s v="ORD200755"/>
    <d v="2023-06-13T00:00:00"/>
    <s v="C54160"/>
    <x v="6"/>
    <n v="3"/>
    <n v="336.71"/>
    <s v="658 Main St"/>
    <s v="Credit Card"/>
    <x v="4"/>
    <s v="TRK60515972"/>
    <n v="4"/>
    <s v="No COUPON"/>
    <s v="Email"/>
    <n v="1010.13"/>
  </r>
  <r>
    <s v="ORD200756"/>
    <d v="2024-06-27T00:00:00"/>
    <s v="C14080"/>
    <x v="1"/>
    <n v="1"/>
    <n v="283.69"/>
    <s v="202 Main St"/>
    <s v="Gift Card"/>
    <x v="0"/>
    <s v="TRK93163682"/>
    <n v="6"/>
    <s v="No COUPON"/>
    <s v="Google"/>
    <n v="283.69"/>
  </r>
  <r>
    <s v="ORD200757"/>
    <d v="2024-02-22T00:00:00"/>
    <s v="C81074"/>
    <x v="6"/>
    <n v="1"/>
    <n v="157.72"/>
    <s v="597 Main St"/>
    <s v="Debit Card"/>
    <x v="3"/>
    <s v="TRK91105190"/>
    <n v="2"/>
    <s v="FREESHIP"/>
    <s v="Google"/>
    <n v="157.72"/>
  </r>
  <r>
    <s v="ORD200758"/>
    <d v="2023-03-26T00:00:00"/>
    <s v="C69021"/>
    <x v="2"/>
    <n v="3"/>
    <n v="624.84"/>
    <s v="917 Main St"/>
    <s v="Credit Card"/>
    <x v="1"/>
    <s v="TRK57148510"/>
    <n v="8"/>
    <s v="WINTER15"/>
    <s v="Facebook"/>
    <n v="1874.52"/>
  </r>
  <r>
    <s v="ORD200759"/>
    <d v="2023-07-24T00:00:00"/>
    <s v="C96283"/>
    <x v="6"/>
    <n v="3"/>
    <n v="308.01"/>
    <s v="366 Main St"/>
    <s v="Cash"/>
    <x v="4"/>
    <s v="TRK91784124"/>
    <n v="3"/>
    <s v="FREESHIP"/>
    <s v="Facebook"/>
    <n v="924.03"/>
  </r>
  <r>
    <s v="ORD200760"/>
    <d v="2025-02-18T00:00:00"/>
    <s v="C96636"/>
    <x v="6"/>
    <n v="1"/>
    <n v="39.56"/>
    <s v="283 Main St"/>
    <s v="Debit Card"/>
    <x v="1"/>
    <s v="TRK73324346"/>
    <n v="5"/>
    <s v="No COUPON"/>
    <s v="Google"/>
    <n v="39.56"/>
  </r>
  <r>
    <s v="ORD200761"/>
    <d v="2023-06-02T00:00:00"/>
    <s v="C37235"/>
    <x v="6"/>
    <n v="4"/>
    <n v="37.76"/>
    <s v="217 Main St"/>
    <s v="Debit Card"/>
    <x v="3"/>
    <s v="TRK67789367"/>
    <n v="7"/>
    <s v="No COUPON"/>
    <s v="Google"/>
    <n v="151.04"/>
  </r>
  <r>
    <s v="ORD200762"/>
    <d v="2024-09-17T00:00:00"/>
    <s v="C12444"/>
    <x v="1"/>
    <n v="3"/>
    <n v="76.959999999999994"/>
    <s v="611 Main St"/>
    <s v="Cash"/>
    <x v="2"/>
    <s v="TRK97621403"/>
    <n v="8"/>
    <s v="FREESHIP"/>
    <s v="Email"/>
    <n v="230.88"/>
  </r>
  <r>
    <s v="ORD200763"/>
    <d v="2023-04-06T00:00:00"/>
    <s v="C79142"/>
    <x v="5"/>
    <n v="1"/>
    <n v="569.96"/>
    <s v="533 Main St"/>
    <s v="Online"/>
    <x v="3"/>
    <s v="TRK30915955"/>
    <n v="4"/>
    <s v="FREESHIP"/>
    <s v="Email"/>
    <n v="569.96"/>
  </r>
  <r>
    <s v="ORD200764"/>
    <d v="2024-03-10T00:00:00"/>
    <s v="C35983"/>
    <x v="5"/>
    <n v="5"/>
    <n v="627.42999999999995"/>
    <s v="806 Main St"/>
    <s v="Credit Card"/>
    <x v="1"/>
    <s v="TRK14016163"/>
    <n v="10"/>
    <s v="FREESHIP"/>
    <s v="Email"/>
    <n v="3137.15"/>
  </r>
  <r>
    <s v="ORD200765"/>
    <d v="2023-10-06T00:00:00"/>
    <s v="C36150"/>
    <x v="5"/>
    <n v="2"/>
    <n v="534.91"/>
    <s v="281 Main St"/>
    <s v="Debit Card"/>
    <x v="2"/>
    <s v="TRK96249043"/>
    <n v="5"/>
    <s v="SAVE10"/>
    <s v="Google"/>
    <n v="1069.82"/>
  </r>
  <r>
    <s v="ORD200766"/>
    <d v="2023-01-22T00:00:00"/>
    <s v="C91454"/>
    <x v="4"/>
    <n v="2"/>
    <n v="278.88"/>
    <s v="494 Main St"/>
    <s v="Debit Card"/>
    <x v="4"/>
    <s v="TRK99985340"/>
    <n v="3"/>
    <s v="FREESHIP"/>
    <s v="Referral"/>
    <n v="557.76"/>
  </r>
  <r>
    <s v="ORD200767"/>
    <d v="2025-04-18T00:00:00"/>
    <s v="C19368"/>
    <x v="2"/>
    <n v="2"/>
    <n v="323.22000000000003"/>
    <s v="517 Main St"/>
    <s v="Credit Card"/>
    <x v="3"/>
    <s v="TRK80436037"/>
    <n v="7"/>
    <s v="No COUPON"/>
    <s v="Instagram"/>
    <n v="646.44000000000005"/>
  </r>
  <r>
    <s v="ORD200768"/>
    <d v="2023-09-04T00:00:00"/>
    <s v="C35987"/>
    <x v="2"/>
    <n v="5"/>
    <n v="653.46"/>
    <s v="165 Main St"/>
    <s v="Cash"/>
    <x v="1"/>
    <s v="TRK28918815"/>
    <n v="9"/>
    <s v="WINTER15"/>
    <s v="Email"/>
    <n v="3267.3"/>
  </r>
  <r>
    <s v="ORD200769"/>
    <d v="2023-07-06T00:00:00"/>
    <s v="C13366"/>
    <x v="4"/>
    <n v="4"/>
    <n v="678.55"/>
    <s v="568 Main St"/>
    <s v="Cash"/>
    <x v="3"/>
    <s v="TRK98691410"/>
    <n v="5"/>
    <s v="No COUPON"/>
    <s v="Email"/>
    <n v="2714.2"/>
  </r>
  <r>
    <s v="ORD200770"/>
    <d v="2024-02-11T00:00:00"/>
    <s v="C72166"/>
    <x v="6"/>
    <n v="1"/>
    <n v="314.38"/>
    <s v="227 Main St"/>
    <s v="Online"/>
    <x v="2"/>
    <s v="TRK67733444"/>
    <n v="6"/>
    <s v="No COUPON"/>
    <s v="Google"/>
    <n v="314.38"/>
  </r>
  <r>
    <s v="ORD200771"/>
    <d v="2024-06-12T00:00:00"/>
    <s v="C20357"/>
    <x v="1"/>
    <n v="3"/>
    <n v="692.44"/>
    <s v="272 Main St"/>
    <s v="Debit Card"/>
    <x v="1"/>
    <s v="TRK82236408"/>
    <n v="8"/>
    <s v="FREESHIP"/>
    <s v="Google"/>
    <n v="2077.3200000000002"/>
  </r>
  <r>
    <s v="ORD200772"/>
    <d v="2024-07-28T00:00:00"/>
    <s v="C33802"/>
    <x v="0"/>
    <n v="1"/>
    <n v="604.87"/>
    <s v="461 Main St"/>
    <s v="Online"/>
    <x v="3"/>
    <s v="TRK25799478"/>
    <n v="4"/>
    <s v="No COUPON"/>
    <s v="Instagram"/>
    <n v="604.87"/>
  </r>
  <r>
    <s v="ORD200773"/>
    <d v="2025-06-28T00:00:00"/>
    <s v="C99205"/>
    <x v="1"/>
    <n v="2"/>
    <n v="512.33000000000004"/>
    <s v="415 Main St"/>
    <s v="Cash"/>
    <x v="1"/>
    <s v="TRK48904015"/>
    <n v="7"/>
    <s v="No COUPON"/>
    <s v="Facebook"/>
    <n v="1024.6600000000001"/>
  </r>
  <r>
    <s v="ORD200774"/>
    <d v="2025-04-15T00:00:00"/>
    <s v="C29701"/>
    <x v="3"/>
    <n v="3"/>
    <n v="20.54"/>
    <s v="257 Main St"/>
    <s v="Credit Card"/>
    <x v="1"/>
    <s v="TRK42266846"/>
    <n v="3"/>
    <s v="FREESHIP"/>
    <s v="Instagram"/>
    <n v="61.62"/>
  </r>
  <r>
    <s v="ORD200775"/>
    <d v="2023-03-04T00:00:00"/>
    <s v="C73941"/>
    <x v="1"/>
    <n v="2"/>
    <n v="625.22"/>
    <s v="569 Main St"/>
    <s v="Online"/>
    <x v="1"/>
    <s v="TRK22051900"/>
    <n v="5"/>
    <s v="No COUPON"/>
    <s v="Google"/>
    <n v="1250.44"/>
  </r>
  <r>
    <s v="ORD200776"/>
    <d v="2023-08-21T00:00:00"/>
    <s v="C69168"/>
    <x v="2"/>
    <n v="1"/>
    <n v="21.19"/>
    <s v="482 Main St"/>
    <s v="Cash"/>
    <x v="2"/>
    <s v="TRK10446197"/>
    <n v="5"/>
    <s v="WINTER15"/>
    <s v="Google"/>
    <n v="21.19"/>
  </r>
  <r>
    <s v="ORD200777"/>
    <d v="2025-03-21T00:00:00"/>
    <s v="C66116"/>
    <x v="3"/>
    <n v="5"/>
    <n v="64.489999999999995"/>
    <s v="633 Main St"/>
    <s v="Online"/>
    <x v="1"/>
    <s v="TRK41967983"/>
    <n v="7"/>
    <s v="No COUPON"/>
    <s v="Facebook"/>
    <n v="322.45"/>
  </r>
  <r>
    <s v="ORD200778"/>
    <d v="2023-04-28T00:00:00"/>
    <s v="C85059"/>
    <x v="5"/>
    <n v="4"/>
    <n v="246.85"/>
    <s v="316 Main St"/>
    <s v="Credit Card"/>
    <x v="0"/>
    <s v="TRK56503740"/>
    <n v="8"/>
    <s v="WINTER15"/>
    <s v="Google"/>
    <n v="987.4"/>
  </r>
  <r>
    <s v="ORD200779"/>
    <d v="2023-12-01T00:00:00"/>
    <s v="C18076"/>
    <x v="1"/>
    <n v="3"/>
    <n v="588.74"/>
    <s v="751 Main St"/>
    <s v="Debit Card"/>
    <x v="4"/>
    <s v="TRK26661705"/>
    <n v="8"/>
    <s v="FREESHIP"/>
    <s v="Email"/>
    <n v="1766.22"/>
  </r>
  <r>
    <s v="ORD200780"/>
    <d v="2024-03-31T00:00:00"/>
    <s v="C41284"/>
    <x v="5"/>
    <n v="4"/>
    <n v="184.48"/>
    <s v="661 Main St"/>
    <s v="Online"/>
    <x v="1"/>
    <s v="TRK73613128"/>
    <n v="4"/>
    <s v="WINTER15"/>
    <s v="Google"/>
    <n v="737.92"/>
  </r>
  <r>
    <s v="ORD200781"/>
    <d v="2024-01-10T00:00:00"/>
    <s v="C43524"/>
    <x v="1"/>
    <n v="5"/>
    <n v="524.26"/>
    <s v="934 Main St"/>
    <s v="Gift Card"/>
    <x v="3"/>
    <s v="TRK51479426"/>
    <n v="5"/>
    <s v="FREESHIP"/>
    <s v="Referral"/>
    <n v="2621.3000000000002"/>
  </r>
  <r>
    <s v="ORD200782"/>
    <d v="2024-08-11T00:00:00"/>
    <s v="C58063"/>
    <x v="0"/>
    <n v="2"/>
    <n v="493.63"/>
    <s v="167 Main St"/>
    <s v="Online"/>
    <x v="2"/>
    <s v="TRK50548869"/>
    <n v="6"/>
    <s v="SAVE10"/>
    <s v="Referral"/>
    <n v="987.26"/>
  </r>
  <r>
    <s v="ORD200783"/>
    <d v="2025-05-26T00:00:00"/>
    <s v="C19937"/>
    <x v="4"/>
    <n v="1"/>
    <n v="438.34"/>
    <s v="281 Main St"/>
    <s v="Gift Card"/>
    <x v="2"/>
    <s v="TRK46990083"/>
    <n v="5"/>
    <s v="FREESHIP"/>
    <s v="Facebook"/>
    <n v="438.34"/>
  </r>
  <r>
    <s v="ORD200784"/>
    <d v="2025-05-16T00:00:00"/>
    <s v="C21191"/>
    <x v="5"/>
    <n v="1"/>
    <n v="325.81"/>
    <s v="232 Main St"/>
    <s v="Credit Card"/>
    <x v="4"/>
    <s v="TRK85771230"/>
    <n v="1"/>
    <s v="WINTER15"/>
    <s v="Referral"/>
    <n v="325.81"/>
  </r>
  <r>
    <s v="ORD200785"/>
    <d v="2023-07-29T00:00:00"/>
    <s v="C45862"/>
    <x v="3"/>
    <n v="1"/>
    <n v="176.1"/>
    <s v="342 Main St"/>
    <s v="Credit Card"/>
    <x v="4"/>
    <s v="TRK53089983"/>
    <n v="1"/>
    <s v="SAVE10"/>
    <s v="Instagram"/>
    <n v="176.1"/>
  </r>
  <r>
    <s v="ORD200786"/>
    <d v="2023-08-23T00:00:00"/>
    <s v="C39130"/>
    <x v="3"/>
    <n v="5"/>
    <n v="45.31"/>
    <s v="774 Main St"/>
    <s v="Online"/>
    <x v="1"/>
    <s v="TRK99583414"/>
    <n v="8"/>
    <s v="No COUPON"/>
    <s v="Referral"/>
    <n v="226.55"/>
  </r>
  <r>
    <s v="ORD200787"/>
    <d v="2024-03-17T00:00:00"/>
    <s v="C18167"/>
    <x v="6"/>
    <n v="4"/>
    <n v="221.96"/>
    <s v="193 Main St"/>
    <s v="Cash"/>
    <x v="3"/>
    <s v="TRK36841089"/>
    <n v="7"/>
    <s v="No COUPON"/>
    <s v="Google"/>
    <n v="887.84"/>
  </r>
  <r>
    <s v="ORD200788"/>
    <d v="2023-11-02T00:00:00"/>
    <s v="C47307"/>
    <x v="3"/>
    <n v="2"/>
    <n v="601.42999999999995"/>
    <s v="761 Main St"/>
    <s v="Online"/>
    <x v="4"/>
    <s v="TRK43516112"/>
    <n v="5"/>
    <s v="FREESHIP"/>
    <s v="Instagram"/>
    <n v="1202.8599999999999"/>
  </r>
  <r>
    <s v="ORD200789"/>
    <d v="2023-08-17T00:00:00"/>
    <s v="C57276"/>
    <x v="2"/>
    <n v="5"/>
    <n v="691.28"/>
    <s v="183 Main St"/>
    <s v="Online"/>
    <x v="3"/>
    <s v="TRK75899752"/>
    <n v="10"/>
    <s v="SAVE10"/>
    <s v="Email"/>
    <n v="3456.4"/>
  </r>
  <r>
    <s v="ORD200790"/>
    <d v="2024-09-14T00:00:00"/>
    <s v="C38928"/>
    <x v="5"/>
    <n v="4"/>
    <n v="417.89"/>
    <s v="302 Main St"/>
    <s v="Gift Card"/>
    <x v="4"/>
    <s v="TRK96636009"/>
    <n v="4"/>
    <s v="No COUPON"/>
    <s v="Google"/>
    <n v="1671.56"/>
  </r>
  <r>
    <s v="ORD200791"/>
    <d v="2024-01-13T00:00:00"/>
    <s v="C49710"/>
    <x v="3"/>
    <n v="4"/>
    <n v="409.28"/>
    <s v="956 Main St"/>
    <s v="Cash"/>
    <x v="4"/>
    <s v="TRK92591237"/>
    <n v="8"/>
    <s v="No COUPON"/>
    <s v="Email"/>
    <n v="1637.12"/>
  </r>
  <r>
    <s v="ORD200792"/>
    <d v="2023-06-16T00:00:00"/>
    <s v="C41709"/>
    <x v="6"/>
    <n v="2"/>
    <n v="356.35"/>
    <s v="746 Main St"/>
    <s v="Debit Card"/>
    <x v="2"/>
    <s v="TRK90995294"/>
    <n v="6"/>
    <s v="WINTER15"/>
    <s v="Facebook"/>
    <n v="712.7"/>
  </r>
  <r>
    <s v="ORD200793"/>
    <d v="2024-04-15T00:00:00"/>
    <s v="C91255"/>
    <x v="3"/>
    <n v="5"/>
    <n v="170.22"/>
    <s v="769 Main St"/>
    <s v="Debit Card"/>
    <x v="3"/>
    <s v="TRK69599961"/>
    <n v="8"/>
    <s v="No COUPON"/>
    <s v="Referral"/>
    <n v="851.1"/>
  </r>
  <r>
    <s v="ORD200794"/>
    <d v="2023-03-09T00:00:00"/>
    <s v="C76653"/>
    <x v="4"/>
    <n v="4"/>
    <n v="384.85"/>
    <s v="988 Main St"/>
    <s v="Online"/>
    <x v="3"/>
    <s v="TRK77052196"/>
    <n v="9"/>
    <s v="FREESHIP"/>
    <s v="Instagram"/>
    <n v="1539.4"/>
  </r>
  <r>
    <s v="ORD200795"/>
    <d v="2024-11-20T00:00:00"/>
    <s v="C95667"/>
    <x v="5"/>
    <n v="4"/>
    <n v="115.77"/>
    <s v="586 Main St"/>
    <s v="Online"/>
    <x v="4"/>
    <s v="TRK41266666"/>
    <n v="7"/>
    <s v="SAVE10"/>
    <s v="Instagram"/>
    <n v="463.08"/>
  </r>
  <r>
    <s v="ORD200796"/>
    <d v="2025-04-29T00:00:00"/>
    <s v="C33313"/>
    <x v="1"/>
    <n v="3"/>
    <n v="579.54999999999995"/>
    <s v="882 Main St"/>
    <s v="Gift Card"/>
    <x v="2"/>
    <s v="TRK13349970"/>
    <n v="8"/>
    <s v="WINTER15"/>
    <s v="Facebook"/>
    <n v="1738.65"/>
  </r>
  <r>
    <s v="ORD200797"/>
    <d v="2023-02-27T00:00:00"/>
    <s v="C36825"/>
    <x v="5"/>
    <n v="2"/>
    <n v="438.76"/>
    <s v="426 Main St"/>
    <s v="Debit Card"/>
    <x v="2"/>
    <s v="TRK72557318"/>
    <n v="2"/>
    <s v="No COUPON"/>
    <s v="Facebook"/>
    <n v="877.52"/>
  </r>
  <r>
    <s v="ORD200798"/>
    <d v="2025-05-19T00:00:00"/>
    <s v="C20861"/>
    <x v="1"/>
    <n v="5"/>
    <n v="488.35"/>
    <s v="968 Main St"/>
    <s v="Debit Card"/>
    <x v="2"/>
    <s v="TRK89372013"/>
    <n v="9"/>
    <s v="FREESHIP"/>
    <s v="Email"/>
    <n v="2441.75"/>
  </r>
  <r>
    <s v="ORD200799"/>
    <d v="2023-04-16T00:00:00"/>
    <s v="C26364"/>
    <x v="5"/>
    <n v="4"/>
    <n v="328.56"/>
    <s v="803 Main St"/>
    <s v="Debit Card"/>
    <x v="2"/>
    <s v="TRK78924436"/>
    <n v="4"/>
    <s v="FREESHIP"/>
    <s v="Email"/>
    <n v="1314.24"/>
  </r>
  <r>
    <s v="ORD200800"/>
    <d v="2025-03-28T00:00:00"/>
    <s v="C34686"/>
    <x v="2"/>
    <n v="1"/>
    <n v="68.39"/>
    <s v="412 Main St"/>
    <s v="Online"/>
    <x v="2"/>
    <s v="TRK99468332"/>
    <n v="3"/>
    <s v="WINTER15"/>
    <s v="Facebook"/>
    <n v="68.39"/>
  </r>
  <r>
    <s v="ORD200801"/>
    <d v="2023-05-03T00:00:00"/>
    <s v="C97593"/>
    <x v="4"/>
    <n v="4"/>
    <n v="595.62"/>
    <s v="738 Main St"/>
    <s v="Debit Card"/>
    <x v="4"/>
    <s v="TRK58443593"/>
    <n v="8"/>
    <s v="FREESHIP"/>
    <s v="Facebook"/>
    <n v="2382.48"/>
  </r>
  <r>
    <s v="ORD200802"/>
    <d v="2024-02-17T00:00:00"/>
    <s v="C84331"/>
    <x v="3"/>
    <n v="5"/>
    <n v="644.64"/>
    <s v="205 Main St"/>
    <s v="Gift Card"/>
    <x v="1"/>
    <s v="TRK34440714"/>
    <n v="6"/>
    <s v="FREESHIP"/>
    <s v="Email"/>
    <n v="3223.2"/>
  </r>
  <r>
    <s v="ORD200803"/>
    <d v="2023-08-20T00:00:00"/>
    <s v="C88775"/>
    <x v="0"/>
    <n v="5"/>
    <n v="397.81"/>
    <s v="223 Main St"/>
    <s v="Debit Card"/>
    <x v="2"/>
    <s v="TRK45098068"/>
    <n v="5"/>
    <s v="SAVE10"/>
    <s v="Referral"/>
    <n v="1989.05"/>
  </r>
  <r>
    <s v="ORD200804"/>
    <d v="2024-01-01T00:00:00"/>
    <s v="C76362"/>
    <x v="3"/>
    <n v="3"/>
    <n v="236.5"/>
    <s v="916 Main St"/>
    <s v="Online"/>
    <x v="3"/>
    <s v="TRK11868618"/>
    <n v="8"/>
    <s v="FREESHIP"/>
    <s v="Email"/>
    <n v="709.5"/>
  </r>
  <r>
    <s v="ORD200805"/>
    <d v="2024-10-15T00:00:00"/>
    <s v="C59278"/>
    <x v="5"/>
    <n v="5"/>
    <n v="472.01"/>
    <s v="178 Main St"/>
    <s v="Gift Card"/>
    <x v="1"/>
    <s v="TRK14590037"/>
    <n v="10"/>
    <s v="SAVE10"/>
    <s v="Email"/>
    <n v="2360.0500000000002"/>
  </r>
  <r>
    <s v="ORD200806"/>
    <d v="2023-09-01T00:00:00"/>
    <s v="C55819"/>
    <x v="3"/>
    <n v="5"/>
    <n v="253.75"/>
    <s v="740 Main St"/>
    <s v="Online"/>
    <x v="4"/>
    <s v="TRK13775054"/>
    <n v="9"/>
    <s v="WINTER15"/>
    <s v="Instagram"/>
    <n v="1268.75"/>
  </r>
  <r>
    <s v="ORD200807"/>
    <d v="2024-11-10T00:00:00"/>
    <s v="C82344"/>
    <x v="0"/>
    <n v="3"/>
    <n v="676.21"/>
    <s v="260 Main St"/>
    <s v="Online"/>
    <x v="3"/>
    <s v="TRK70957219"/>
    <n v="5"/>
    <s v="SAVE10"/>
    <s v="Google"/>
    <n v="2028.63"/>
  </r>
  <r>
    <s v="ORD200808"/>
    <d v="2024-02-13T00:00:00"/>
    <s v="C65565"/>
    <x v="6"/>
    <n v="3"/>
    <n v="134.05000000000001"/>
    <s v="192 Main St"/>
    <s v="Credit Card"/>
    <x v="0"/>
    <s v="TRK80383756"/>
    <n v="3"/>
    <s v="No COUPON"/>
    <s v="Google"/>
    <n v="402.15"/>
  </r>
  <r>
    <s v="ORD200809"/>
    <d v="2024-04-09T00:00:00"/>
    <s v="C80416"/>
    <x v="6"/>
    <n v="5"/>
    <n v="217.43"/>
    <s v="752 Main St"/>
    <s v="Debit Card"/>
    <x v="0"/>
    <s v="TRK54385892"/>
    <n v="10"/>
    <s v="SAVE10"/>
    <s v="Instagram"/>
    <n v="1087.1500000000001"/>
  </r>
  <r>
    <s v="ORD200810"/>
    <d v="2023-05-31T00:00:00"/>
    <s v="C23637"/>
    <x v="2"/>
    <n v="1"/>
    <n v="553.55999999999995"/>
    <s v="644 Main St"/>
    <s v="Credit Card"/>
    <x v="1"/>
    <s v="TRK16749863"/>
    <n v="5"/>
    <s v="No COUPON"/>
    <s v="Referral"/>
    <n v="553.55999999999995"/>
  </r>
  <r>
    <s v="ORD200811"/>
    <d v="2023-11-05T00:00:00"/>
    <s v="C24769"/>
    <x v="5"/>
    <n v="2"/>
    <n v="28.55"/>
    <s v="864 Main St"/>
    <s v="Gift Card"/>
    <x v="0"/>
    <s v="TRK44538305"/>
    <n v="7"/>
    <s v="SAVE10"/>
    <s v="Email"/>
    <n v="57.1"/>
  </r>
  <r>
    <s v="ORD200812"/>
    <d v="2024-01-26T00:00:00"/>
    <s v="C81547"/>
    <x v="1"/>
    <n v="2"/>
    <n v="255.26"/>
    <s v="803 Main St"/>
    <s v="Credit Card"/>
    <x v="1"/>
    <s v="TRK88437123"/>
    <n v="6"/>
    <s v="FREESHIP"/>
    <s v="Google"/>
    <n v="510.52"/>
  </r>
  <r>
    <s v="ORD200813"/>
    <d v="2025-03-15T00:00:00"/>
    <s v="C12813"/>
    <x v="5"/>
    <n v="5"/>
    <n v="292.54000000000002"/>
    <s v="263 Main St"/>
    <s v="Debit Card"/>
    <x v="1"/>
    <s v="TRK36131660"/>
    <n v="8"/>
    <s v="FREESHIP"/>
    <s v="Email"/>
    <n v="1462.7"/>
  </r>
  <r>
    <s v="ORD200814"/>
    <d v="2024-12-11T00:00:00"/>
    <s v="C50732"/>
    <x v="3"/>
    <n v="4"/>
    <n v="147.51"/>
    <s v="979 Main St"/>
    <s v="Debit Card"/>
    <x v="4"/>
    <s v="TRK21082461"/>
    <n v="4"/>
    <s v="WINTER15"/>
    <s v="Instagram"/>
    <n v="590.04"/>
  </r>
  <r>
    <s v="ORD200815"/>
    <d v="2024-08-04T00:00:00"/>
    <s v="C41320"/>
    <x v="4"/>
    <n v="3"/>
    <n v="569.84"/>
    <s v="920 Main St"/>
    <s v="Gift Card"/>
    <x v="1"/>
    <s v="TRK77539180"/>
    <n v="8"/>
    <s v="WINTER15"/>
    <s v="Instagram"/>
    <n v="1709.52"/>
  </r>
  <r>
    <s v="ORD200816"/>
    <d v="2024-02-21T00:00:00"/>
    <s v="C55286"/>
    <x v="2"/>
    <n v="5"/>
    <n v="574.79"/>
    <s v="497 Main St"/>
    <s v="Credit Card"/>
    <x v="4"/>
    <s v="TRK39058734"/>
    <n v="8"/>
    <s v="WINTER15"/>
    <s v="Referral"/>
    <n v="2873.95"/>
  </r>
  <r>
    <s v="ORD200817"/>
    <d v="2023-10-05T00:00:00"/>
    <s v="C87994"/>
    <x v="3"/>
    <n v="4"/>
    <n v="598.19000000000005"/>
    <s v="430 Main St"/>
    <s v="Credit Card"/>
    <x v="3"/>
    <s v="TRK98883971"/>
    <n v="7"/>
    <s v="WINTER15"/>
    <s v="Email"/>
    <n v="2392.7600000000002"/>
  </r>
  <r>
    <s v="ORD200818"/>
    <d v="2023-03-02T00:00:00"/>
    <s v="C25580"/>
    <x v="1"/>
    <n v="4"/>
    <n v="390.84"/>
    <s v="860 Main St"/>
    <s v="Credit Card"/>
    <x v="1"/>
    <s v="TRK58781638"/>
    <n v="9"/>
    <s v="WINTER15"/>
    <s v="Referral"/>
    <n v="1563.36"/>
  </r>
  <r>
    <s v="ORD200819"/>
    <d v="2024-09-28T00:00:00"/>
    <s v="C66196"/>
    <x v="1"/>
    <n v="2"/>
    <n v="398.45"/>
    <s v="650 Main St"/>
    <s v="Debit Card"/>
    <x v="1"/>
    <s v="TRK38104650"/>
    <n v="7"/>
    <s v="SAVE10"/>
    <s v="Google"/>
    <n v="796.9"/>
  </r>
  <r>
    <s v="ORD200820"/>
    <d v="2023-05-27T00:00:00"/>
    <s v="C35377"/>
    <x v="1"/>
    <n v="5"/>
    <n v="623.80999999999995"/>
    <s v="171 Main St"/>
    <s v="Cash"/>
    <x v="2"/>
    <s v="TRK17342157"/>
    <n v="6"/>
    <s v="FREESHIP"/>
    <s v="Email"/>
    <n v="3119.05"/>
  </r>
  <r>
    <s v="ORD200821"/>
    <d v="2024-12-14T00:00:00"/>
    <s v="C40771"/>
    <x v="5"/>
    <n v="4"/>
    <n v="174.49"/>
    <s v="259 Main St"/>
    <s v="Credit Card"/>
    <x v="3"/>
    <s v="TRK56310345"/>
    <n v="5"/>
    <s v="SAVE10"/>
    <s v="Facebook"/>
    <n v="697.96"/>
  </r>
  <r>
    <s v="ORD200822"/>
    <d v="2025-03-15T00:00:00"/>
    <s v="C20624"/>
    <x v="1"/>
    <n v="1"/>
    <n v="479.56"/>
    <s v="923 Main St"/>
    <s v="Gift Card"/>
    <x v="2"/>
    <s v="TRK45123395"/>
    <n v="1"/>
    <s v="SAVE10"/>
    <s v="Google"/>
    <n v="479.56"/>
  </r>
  <r>
    <s v="ORD200823"/>
    <d v="2024-10-07T00:00:00"/>
    <s v="C27070"/>
    <x v="5"/>
    <n v="4"/>
    <n v="653.13"/>
    <s v="973 Main St"/>
    <s v="Credit Card"/>
    <x v="0"/>
    <s v="TRK83842481"/>
    <n v="8"/>
    <s v="WINTER15"/>
    <s v="Instagram"/>
    <n v="2612.52"/>
  </r>
  <r>
    <s v="ORD200824"/>
    <d v="2023-08-29T00:00:00"/>
    <s v="C18826"/>
    <x v="0"/>
    <n v="3"/>
    <n v="481.1"/>
    <s v="664 Main St"/>
    <s v="Credit Card"/>
    <x v="2"/>
    <s v="TRK12530495"/>
    <n v="3"/>
    <s v="FREESHIP"/>
    <s v="Facebook"/>
    <n v="1443.3"/>
  </r>
  <r>
    <s v="ORD200825"/>
    <d v="2025-03-26T00:00:00"/>
    <s v="C23899"/>
    <x v="6"/>
    <n v="5"/>
    <n v="271.69"/>
    <s v="543 Main St"/>
    <s v="Online"/>
    <x v="2"/>
    <s v="TRK88914760"/>
    <n v="7"/>
    <s v="FREESHIP"/>
    <s v="Instagram"/>
    <n v="1358.45"/>
  </r>
  <r>
    <s v="ORD200826"/>
    <d v="2025-03-08T00:00:00"/>
    <s v="C43249"/>
    <x v="4"/>
    <n v="3"/>
    <n v="463.81"/>
    <s v="283 Main St"/>
    <s v="Online"/>
    <x v="2"/>
    <s v="TRK32469820"/>
    <n v="8"/>
    <s v="WINTER15"/>
    <s v="Email"/>
    <n v="1391.43"/>
  </r>
  <r>
    <s v="ORD200827"/>
    <d v="2023-05-25T00:00:00"/>
    <s v="C95856"/>
    <x v="2"/>
    <n v="2"/>
    <n v="639.88"/>
    <s v="432 Main St"/>
    <s v="Cash"/>
    <x v="3"/>
    <s v="TRK58829625"/>
    <n v="5"/>
    <s v="WINTER15"/>
    <s v="Instagram"/>
    <n v="1279.76"/>
  </r>
  <r>
    <s v="ORD200828"/>
    <d v="2024-07-24T00:00:00"/>
    <s v="C86266"/>
    <x v="3"/>
    <n v="4"/>
    <n v="404.58"/>
    <s v="510 Main St"/>
    <s v="Cash"/>
    <x v="0"/>
    <s v="TRK64576020"/>
    <n v="5"/>
    <s v="FREESHIP"/>
    <s v="Instagram"/>
    <n v="1618.32"/>
  </r>
  <r>
    <s v="ORD200829"/>
    <d v="2023-02-05T00:00:00"/>
    <s v="C39551"/>
    <x v="0"/>
    <n v="1"/>
    <n v="76.930000000000007"/>
    <s v="685 Main St"/>
    <s v="Debit Card"/>
    <x v="3"/>
    <s v="TRK68358007"/>
    <n v="6"/>
    <s v="WINTER15"/>
    <s v="Instagram"/>
    <n v="76.930000000000007"/>
  </r>
  <r>
    <s v="ORD200830"/>
    <d v="2024-12-11T00:00:00"/>
    <s v="C90310"/>
    <x v="2"/>
    <n v="4"/>
    <n v="190.64"/>
    <s v="853 Main St"/>
    <s v="Cash"/>
    <x v="3"/>
    <s v="TRK70028457"/>
    <n v="5"/>
    <s v="SAVE10"/>
    <s v="Email"/>
    <n v="762.56"/>
  </r>
  <r>
    <s v="ORD200831"/>
    <d v="2023-12-18T00:00:00"/>
    <s v="C20124"/>
    <x v="4"/>
    <n v="2"/>
    <n v="88.73"/>
    <s v="140 Main St"/>
    <s v="Online"/>
    <x v="4"/>
    <s v="TRK61346824"/>
    <n v="5"/>
    <s v="No COUPON"/>
    <s v="Google"/>
    <n v="177.46"/>
  </r>
  <r>
    <s v="ORD200832"/>
    <d v="2024-03-12T00:00:00"/>
    <s v="C63372"/>
    <x v="3"/>
    <n v="5"/>
    <n v="485.71"/>
    <s v="903 Main St"/>
    <s v="Online"/>
    <x v="4"/>
    <s v="TRK14661811"/>
    <n v="10"/>
    <s v="SAVE10"/>
    <s v="Referral"/>
    <n v="2428.5500000000002"/>
  </r>
  <r>
    <s v="ORD200833"/>
    <d v="2025-03-14T00:00:00"/>
    <s v="C90595"/>
    <x v="1"/>
    <n v="5"/>
    <n v="78.290000000000006"/>
    <s v="508 Main St"/>
    <s v="Credit Card"/>
    <x v="0"/>
    <s v="TRK96573803"/>
    <n v="5"/>
    <s v="WINTER15"/>
    <s v="Referral"/>
    <n v="391.45"/>
  </r>
  <r>
    <s v="ORD200834"/>
    <d v="2024-04-11T00:00:00"/>
    <s v="C98483"/>
    <x v="4"/>
    <n v="5"/>
    <n v="22.14"/>
    <s v="456 Main St"/>
    <s v="Cash"/>
    <x v="2"/>
    <s v="TRK22084320"/>
    <n v="10"/>
    <s v="No COUPON"/>
    <s v="Instagram"/>
    <n v="110.7"/>
  </r>
  <r>
    <s v="ORD200835"/>
    <d v="2024-03-26T00:00:00"/>
    <s v="C16429"/>
    <x v="6"/>
    <n v="1"/>
    <n v="679.65"/>
    <s v="390 Main St"/>
    <s v="Debit Card"/>
    <x v="0"/>
    <s v="TRK73888013"/>
    <n v="6"/>
    <s v="FREESHIP"/>
    <s v="Google"/>
    <n v="679.65"/>
  </r>
  <r>
    <s v="ORD200836"/>
    <d v="2023-02-02T00:00:00"/>
    <s v="C31810"/>
    <x v="1"/>
    <n v="1"/>
    <n v="178.44"/>
    <s v="328 Main St"/>
    <s v="Credit Card"/>
    <x v="1"/>
    <s v="TRK58725886"/>
    <n v="2"/>
    <s v="FREESHIP"/>
    <s v="Google"/>
    <n v="178.44"/>
  </r>
  <r>
    <s v="ORD200837"/>
    <d v="2025-06-14T00:00:00"/>
    <s v="C88029"/>
    <x v="3"/>
    <n v="5"/>
    <n v="655.55"/>
    <s v="282 Main St"/>
    <s v="Online"/>
    <x v="3"/>
    <s v="TRK59701278"/>
    <n v="5"/>
    <s v="No COUPON"/>
    <s v="Email"/>
    <n v="3277.75"/>
  </r>
  <r>
    <s v="ORD200838"/>
    <d v="2024-04-11T00:00:00"/>
    <s v="C57798"/>
    <x v="6"/>
    <n v="4"/>
    <n v="577.08000000000004"/>
    <s v="384 Main St"/>
    <s v="Online"/>
    <x v="4"/>
    <s v="TRK68797566"/>
    <n v="8"/>
    <s v="No COUPON"/>
    <s v="Facebook"/>
    <n v="2308.3200000000002"/>
  </r>
  <r>
    <s v="ORD200839"/>
    <d v="2023-08-24T00:00:00"/>
    <s v="C82858"/>
    <x v="3"/>
    <n v="3"/>
    <n v="197.97"/>
    <s v="551 Main St"/>
    <s v="Online"/>
    <x v="1"/>
    <s v="TRK90618490"/>
    <n v="5"/>
    <s v="No COUPON"/>
    <s v="Google"/>
    <n v="593.91"/>
  </r>
  <r>
    <s v="ORD200840"/>
    <d v="2024-01-14T00:00:00"/>
    <s v="C60699"/>
    <x v="3"/>
    <n v="3"/>
    <n v="411.95"/>
    <s v="672 Main St"/>
    <s v="Credit Card"/>
    <x v="3"/>
    <s v="TRK88660574"/>
    <n v="7"/>
    <s v="FREESHIP"/>
    <s v="Referral"/>
    <n v="1235.8499999999999"/>
  </r>
  <r>
    <s v="ORD200841"/>
    <d v="2024-09-19T00:00:00"/>
    <s v="C94658"/>
    <x v="4"/>
    <n v="2"/>
    <n v="443.22"/>
    <s v="742 Main St"/>
    <s v="Credit Card"/>
    <x v="3"/>
    <s v="TRK51732528"/>
    <n v="5"/>
    <s v="No COUPON"/>
    <s v="Facebook"/>
    <n v="886.44"/>
  </r>
  <r>
    <s v="ORD200842"/>
    <d v="2025-05-07T00:00:00"/>
    <s v="C78305"/>
    <x v="5"/>
    <n v="3"/>
    <n v="364.14"/>
    <s v="396 Main St"/>
    <s v="Online"/>
    <x v="4"/>
    <s v="TRK88312618"/>
    <n v="7"/>
    <s v="WINTER15"/>
    <s v="Referral"/>
    <n v="1092.42"/>
  </r>
  <r>
    <s v="ORD200843"/>
    <d v="2025-05-13T00:00:00"/>
    <s v="C43538"/>
    <x v="6"/>
    <n v="3"/>
    <n v="430.06"/>
    <s v="534 Main St"/>
    <s v="Gift Card"/>
    <x v="1"/>
    <s v="TRK20961563"/>
    <n v="8"/>
    <s v="FREESHIP"/>
    <s v="Instagram"/>
    <n v="1290.18"/>
  </r>
  <r>
    <s v="ORD200844"/>
    <d v="2024-12-04T00:00:00"/>
    <s v="C47486"/>
    <x v="3"/>
    <n v="1"/>
    <n v="320.92"/>
    <s v="883 Main St"/>
    <s v="Online"/>
    <x v="2"/>
    <s v="TRK75984759"/>
    <n v="5"/>
    <s v="FREESHIP"/>
    <s v="Facebook"/>
    <n v="320.92"/>
  </r>
  <r>
    <s v="ORD200845"/>
    <d v="2023-10-08T00:00:00"/>
    <s v="C24212"/>
    <x v="1"/>
    <n v="3"/>
    <n v="107.36"/>
    <s v="808 Main St"/>
    <s v="Gift Card"/>
    <x v="3"/>
    <s v="TRK68894675"/>
    <n v="5"/>
    <s v="FREESHIP"/>
    <s v="Google"/>
    <n v="322.08"/>
  </r>
  <r>
    <s v="ORD200846"/>
    <d v="2024-07-04T00:00:00"/>
    <s v="C24765"/>
    <x v="6"/>
    <n v="2"/>
    <n v="359.86"/>
    <s v="646 Main St"/>
    <s v="Debit Card"/>
    <x v="1"/>
    <s v="TRK43977698"/>
    <n v="4"/>
    <s v="No COUPON"/>
    <s v="Referral"/>
    <n v="719.72"/>
  </r>
  <r>
    <s v="ORD200847"/>
    <d v="2024-11-18T00:00:00"/>
    <s v="C48176"/>
    <x v="4"/>
    <n v="4"/>
    <n v="434.23"/>
    <s v="670 Main St"/>
    <s v="Online"/>
    <x v="0"/>
    <s v="TRK90560300"/>
    <n v="8"/>
    <s v="FREESHIP"/>
    <s v="Email"/>
    <n v="1736.92"/>
  </r>
  <r>
    <s v="ORD200848"/>
    <d v="2023-01-01T00:00:00"/>
    <s v="C54675"/>
    <x v="3"/>
    <n v="2"/>
    <n v="645.85"/>
    <s v="634 Main St"/>
    <s v="Online"/>
    <x v="0"/>
    <s v="TRK18049633"/>
    <n v="5"/>
    <s v="No COUPON"/>
    <s v="Referral"/>
    <n v="1291.7"/>
  </r>
  <r>
    <s v="ORD200849"/>
    <d v="2025-06-09T00:00:00"/>
    <s v="C16675"/>
    <x v="4"/>
    <n v="4"/>
    <n v="214.35"/>
    <s v="664 Main St"/>
    <s v="Debit Card"/>
    <x v="1"/>
    <s v="TRK12756945"/>
    <n v="7"/>
    <s v="WINTER15"/>
    <s v="Referral"/>
    <n v="857.4"/>
  </r>
  <r>
    <s v="ORD200850"/>
    <d v="2025-04-27T00:00:00"/>
    <s v="C38557"/>
    <x v="0"/>
    <n v="3"/>
    <n v="638.5"/>
    <s v="890 Main St"/>
    <s v="Debit Card"/>
    <x v="1"/>
    <s v="TRK14832238"/>
    <n v="4"/>
    <s v="FREESHIP"/>
    <s v="Instagram"/>
    <n v="1915.5"/>
  </r>
  <r>
    <s v="ORD200851"/>
    <d v="2023-12-12T00:00:00"/>
    <s v="C80183"/>
    <x v="5"/>
    <n v="1"/>
    <n v="365.57"/>
    <s v="146 Main St"/>
    <s v="Online"/>
    <x v="1"/>
    <s v="TRK20814598"/>
    <n v="5"/>
    <s v="SAVE10"/>
    <s v="Email"/>
    <n v="365.57"/>
  </r>
  <r>
    <s v="ORD200852"/>
    <d v="2024-10-24T00:00:00"/>
    <s v="C39530"/>
    <x v="6"/>
    <n v="3"/>
    <n v="568.04999999999995"/>
    <s v="618 Main St"/>
    <s v="Gift Card"/>
    <x v="4"/>
    <s v="TRK69000497"/>
    <n v="6"/>
    <s v="SAVE10"/>
    <s v="Google"/>
    <n v="1704.15"/>
  </r>
  <r>
    <s v="ORD200853"/>
    <d v="2023-10-16T00:00:00"/>
    <s v="C10002"/>
    <x v="4"/>
    <n v="3"/>
    <n v="490.01"/>
    <s v="894 Main St"/>
    <s v="Cash"/>
    <x v="2"/>
    <s v="TRK94641152"/>
    <n v="4"/>
    <s v="SAVE10"/>
    <s v="Facebook"/>
    <n v="1470.03"/>
  </r>
  <r>
    <s v="ORD200854"/>
    <d v="2025-06-13T00:00:00"/>
    <s v="C56938"/>
    <x v="5"/>
    <n v="3"/>
    <n v="372.6"/>
    <s v="356 Main St"/>
    <s v="Credit Card"/>
    <x v="3"/>
    <s v="TRK67735987"/>
    <n v="7"/>
    <s v="WINTER15"/>
    <s v="Referral"/>
    <n v="1117.8"/>
  </r>
  <r>
    <s v="ORD200855"/>
    <d v="2023-05-25T00:00:00"/>
    <s v="C41331"/>
    <x v="0"/>
    <n v="5"/>
    <n v="240.61"/>
    <s v="785 Main St"/>
    <s v="Credit Card"/>
    <x v="0"/>
    <s v="TRK94198179"/>
    <n v="10"/>
    <s v="FREESHIP"/>
    <s v="Email"/>
    <n v="1203.05"/>
  </r>
  <r>
    <s v="ORD200856"/>
    <d v="2024-06-03T00:00:00"/>
    <s v="C94698"/>
    <x v="1"/>
    <n v="1"/>
    <n v="586.62"/>
    <s v="871 Main St"/>
    <s v="Debit Card"/>
    <x v="0"/>
    <s v="TRK95768773"/>
    <n v="5"/>
    <s v="No COUPON"/>
    <s v="Facebook"/>
    <n v="586.62"/>
  </r>
  <r>
    <s v="ORD200857"/>
    <d v="2024-03-10T00:00:00"/>
    <s v="C56506"/>
    <x v="1"/>
    <n v="3"/>
    <n v="257.83999999999997"/>
    <s v="185 Main St"/>
    <s v="Online"/>
    <x v="3"/>
    <s v="TRK86808324"/>
    <n v="4"/>
    <s v="No COUPON"/>
    <s v="Instagram"/>
    <n v="773.52"/>
  </r>
  <r>
    <s v="ORD200858"/>
    <d v="2023-08-20T00:00:00"/>
    <s v="C22167"/>
    <x v="2"/>
    <n v="5"/>
    <n v="435.66"/>
    <s v="891 Main St"/>
    <s v="Online"/>
    <x v="4"/>
    <s v="TRK70269748"/>
    <n v="9"/>
    <s v="No COUPON"/>
    <s v="Facebook"/>
    <n v="2178.3000000000002"/>
  </r>
  <r>
    <s v="ORD200859"/>
    <d v="2024-08-28T00:00:00"/>
    <s v="C11127"/>
    <x v="3"/>
    <n v="5"/>
    <n v="261.33"/>
    <s v="154 Main St"/>
    <s v="Credit Card"/>
    <x v="2"/>
    <s v="TRK73285507"/>
    <n v="5"/>
    <s v="SAVE10"/>
    <s v="Referral"/>
    <n v="1306.6500000000001"/>
  </r>
  <r>
    <s v="ORD200860"/>
    <d v="2024-01-23T00:00:00"/>
    <s v="C69542"/>
    <x v="4"/>
    <n v="1"/>
    <n v="422.54"/>
    <s v="876 Main St"/>
    <s v="Cash"/>
    <x v="3"/>
    <s v="TRK20746505"/>
    <n v="1"/>
    <s v="SAVE10"/>
    <s v="Google"/>
    <n v="422.54"/>
  </r>
  <r>
    <s v="ORD200861"/>
    <d v="2023-03-19T00:00:00"/>
    <s v="C93276"/>
    <x v="6"/>
    <n v="5"/>
    <n v="330.45"/>
    <s v="230 Main St"/>
    <s v="Gift Card"/>
    <x v="0"/>
    <s v="TRK44165913"/>
    <n v="10"/>
    <s v="FREESHIP"/>
    <s v="Google"/>
    <n v="1652.25"/>
  </r>
  <r>
    <s v="ORD200862"/>
    <d v="2023-12-02T00:00:00"/>
    <s v="C37969"/>
    <x v="6"/>
    <n v="3"/>
    <n v="120.82"/>
    <s v="799 Main St"/>
    <s v="Credit Card"/>
    <x v="0"/>
    <s v="TRK69852386"/>
    <n v="5"/>
    <s v="SAVE10"/>
    <s v="Referral"/>
    <n v="362.46"/>
  </r>
  <r>
    <s v="ORD200863"/>
    <d v="2024-05-20T00:00:00"/>
    <s v="C98276"/>
    <x v="1"/>
    <n v="1"/>
    <n v="14.06"/>
    <s v="471 Main St"/>
    <s v="Credit Card"/>
    <x v="4"/>
    <s v="TRK74207282"/>
    <n v="5"/>
    <s v="SAVE10"/>
    <s v="Referral"/>
    <n v="14.06"/>
  </r>
  <r>
    <s v="ORD200864"/>
    <d v="2023-05-03T00:00:00"/>
    <s v="C14240"/>
    <x v="6"/>
    <n v="1"/>
    <n v="491.11"/>
    <s v="592 Main St"/>
    <s v="Credit Card"/>
    <x v="3"/>
    <s v="TRK58095246"/>
    <n v="4"/>
    <s v="SAVE10"/>
    <s v="Facebook"/>
    <n v="491.11"/>
  </r>
  <r>
    <s v="ORD200865"/>
    <d v="2023-04-30T00:00:00"/>
    <s v="C72241"/>
    <x v="0"/>
    <n v="4"/>
    <n v="677.37"/>
    <s v="156 Main St"/>
    <s v="Cash"/>
    <x v="4"/>
    <s v="TRK76270481"/>
    <n v="8"/>
    <s v="SAVE10"/>
    <s v="Google"/>
    <n v="2709.48"/>
  </r>
  <r>
    <s v="ORD200866"/>
    <d v="2024-07-26T00:00:00"/>
    <s v="C39664"/>
    <x v="6"/>
    <n v="5"/>
    <n v="189.25"/>
    <s v="693 Main St"/>
    <s v="Debit Card"/>
    <x v="1"/>
    <s v="TRK39917741"/>
    <n v="10"/>
    <s v="WINTER15"/>
    <s v="Email"/>
    <n v="946.25"/>
  </r>
  <r>
    <s v="ORD200867"/>
    <d v="2024-05-26T00:00:00"/>
    <s v="C53252"/>
    <x v="4"/>
    <n v="4"/>
    <n v="142.58000000000001"/>
    <s v="351 Main St"/>
    <s v="Cash"/>
    <x v="3"/>
    <s v="TRK65831261"/>
    <n v="4"/>
    <s v="FREESHIP"/>
    <s v="Facebook"/>
    <n v="570.32000000000005"/>
  </r>
  <r>
    <s v="ORD200868"/>
    <d v="2024-06-29T00:00:00"/>
    <s v="C70452"/>
    <x v="0"/>
    <n v="4"/>
    <n v="316.32"/>
    <s v="309 Main St"/>
    <s v="Debit Card"/>
    <x v="3"/>
    <s v="TRK42985882"/>
    <n v="7"/>
    <s v="No COUPON"/>
    <s v="Facebook"/>
    <n v="1265.28"/>
  </r>
  <r>
    <s v="ORD200869"/>
    <d v="2024-03-17T00:00:00"/>
    <s v="C29905"/>
    <x v="6"/>
    <n v="2"/>
    <n v="533.95000000000005"/>
    <s v="790 Main St"/>
    <s v="Online"/>
    <x v="3"/>
    <s v="TRK16788127"/>
    <n v="5"/>
    <s v="WINTER15"/>
    <s v="Google"/>
    <n v="1067.9000000000001"/>
  </r>
  <r>
    <s v="ORD200870"/>
    <d v="2025-06-01T00:00:00"/>
    <s v="C78725"/>
    <x v="1"/>
    <n v="4"/>
    <n v="470.09"/>
    <s v="541 Main St"/>
    <s v="Debit Card"/>
    <x v="3"/>
    <s v="TRK72001139"/>
    <n v="4"/>
    <s v="FREESHIP"/>
    <s v="Google"/>
    <n v="1880.36"/>
  </r>
  <r>
    <s v="ORD200871"/>
    <d v="2024-05-16T00:00:00"/>
    <s v="C93768"/>
    <x v="2"/>
    <n v="3"/>
    <n v="324.3"/>
    <s v="720 Main St"/>
    <s v="Debit Card"/>
    <x v="4"/>
    <s v="TRK22024707"/>
    <n v="8"/>
    <s v="FREESHIP"/>
    <s v="Email"/>
    <n v="972.90000000000009"/>
  </r>
  <r>
    <s v="ORD200872"/>
    <d v="2023-07-10T00:00:00"/>
    <s v="C59169"/>
    <x v="3"/>
    <n v="4"/>
    <n v="629.34"/>
    <s v="172 Main St"/>
    <s v="Cash"/>
    <x v="0"/>
    <s v="TRK90883858"/>
    <n v="7"/>
    <s v="No COUPON"/>
    <s v="Email"/>
    <n v="2517.36"/>
  </r>
  <r>
    <s v="ORD200873"/>
    <d v="2024-05-12T00:00:00"/>
    <s v="C53488"/>
    <x v="6"/>
    <n v="3"/>
    <n v="136.84"/>
    <s v="448 Main St"/>
    <s v="Cash"/>
    <x v="3"/>
    <s v="TRK27365050"/>
    <n v="3"/>
    <s v="SAVE10"/>
    <s v="Facebook"/>
    <n v="410.52"/>
  </r>
  <r>
    <s v="ORD200874"/>
    <d v="2023-10-31T00:00:00"/>
    <s v="C92180"/>
    <x v="3"/>
    <n v="2"/>
    <n v="488.9"/>
    <s v="632 Main St"/>
    <s v="Cash"/>
    <x v="3"/>
    <s v="TRK93315929"/>
    <n v="7"/>
    <s v="FREESHIP"/>
    <s v="Facebook"/>
    <n v="977.8"/>
  </r>
  <r>
    <s v="ORD200875"/>
    <d v="2023-08-03T00:00:00"/>
    <s v="C25918"/>
    <x v="5"/>
    <n v="5"/>
    <n v="133.38999999999999"/>
    <s v="203 Main St"/>
    <s v="Credit Card"/>
    <x v="3"/>
    <s v="TRK66473392"/>
    <n v="6"/>
    <s v="FREESHIP"/>
    <s v="Referral"/>
    <n v="666.94999999999993"/>
  </r>
  <r>
    <s v="ORD200876"/>
    <d v="2024-06-09T00:00:00"/>
    <s v="C90363"/>
    <x v="3"/>
    <n v="5"/>
    <n v="608.91"/>
    <s v="200 Main St"/>
    <s v="Gift Card"/>
    <x v="4"/>
    <s v="TRK21534173"/>
    <n v="6"/>
    <s v="SAVE10"/>
    <s v="Google"/>
    <n v="3044.55"/>
  </r>
  <r>
    <s v="ORD200877"/>
    <d v="2024-07-25T00:00:00"/>
    <s v="C43867"/>
    <x v="2"/>
    <n v="1"/>
    <n v="524.05999999999995"/>
    <s v="269 Main St"/>
    <s v="Debit Card"/>
    <x v="4"/>
    <s v="TRK97319127"/>
    <n v="3"/>
    <s v="FREESHIP"/>
    <s v="Email"/>
    <n v="524.05999999999995"/>
  </r>
  <r>
    <s v="ORD200878"/>
    <d v="2023-06-01T00:00:00"/>
    <s v="C73873"/>
    <x v="6"/>
    <n v="2"/>
    <n v="330.69"/>
    <s v="393 Main St"/>
    <s v="Online"/>
    <x v="1"/>
    <s v="TRK56423132"/>
    <n v="5"/>
    <s v="SAVE10"/>
    <s v="Google"/>
    <n v="661.38"/>
  </r>
  <r>
    <s v="ORD200879"/>
    <d v="2025-04-08T00:00:00"/>
    <s v="C56622"/>
    <x v="1"/>
    <n v="2"/>
    <n v="547.66999999999996"/>
    <s v="932 Main St"/>
    <s v="Gift Card"/>
    <x v="0"/>
    <s v="TRK86373987"/>
    <n v="3"/>
    <s v="No COUPON"/>
    <s v="Instagram"/>
    <n v="1095.3399999999999"/>
  </r>
  <r>
    <s v="ORD200880"/>
    <d v="2025-03-12T00:00:00"/>
    <s v="C85074"/>
    <x v="5"/>
    <n v="4"/>
    <n v="233.7"/>
    <s v="506 Main St"/>
    <s v="Online"/>
    <x v="0"/>
    <s v="TRK63133878"/>
    <n v="8"/>
    <s v="SAVE10"/>
    <s v="Facebook"/>
    <n v="934.8"/>
  </r>
  <r>
    <s v="ORD200881"/>
    <d v="2023-01-03T00:00:00"/>
    <s v="C59579"/>
    <x v="2"/>
    <n v="2"/>
    <n v="448.85"/>
    <s v="386 Main St"/>
    <s v="Credit Card"/>
    <x v="4"/>
    <s v="TRK48000034"/>
    <n v="6"/>
    <s v="No COUPON"/>
    <s v="Instagram"/>
    <n v="897.7"/>
  </r>
  <r>
    <s v="ORD200882"/>
    <d v="2025-06-28T00:00:00"/>
    <s v="C43335"/>
    <x v="1"/>
    <n v="2"/>
    <n v="274.12"/>
    <s v="533 Main St"/>
    <s v="Cash"/>
    <x v="3"/>
    <s v="TRK91848650"/>
    <n v="6"/>
    <s v="FREESHIP"/>
    <s v="Referral"/>
    <n v="548.24"/>
  </r>
  <r>
    <s v="ORD200883"/>
    <d v="2025-05-13T00:00:00"/>
    <s v="C43595"/>
    <x v="4"/>
    <n v="5"/>
    <n v="561.48"/>
    <s v="451 Main St"/>
    <s v="Online"/>
    <x v="3"/>
    <s v="TRK25317348"/>
    <n v="9"/>
    <s v="FREESHIP"/>
    <s v="Facebook"/>
    <n v="2807.4"/>
  </r>
  <r>
    <s v="ORD200884"/>
    <d v="2024-05-15T00:00:00"/>
    <s v="C71471"/>
    <x v="3"/>
    <n v="1"/>
    <n v="595.54"/>
    <s v="817 Main St"/>
    <s v="Gift Card"/>
    <x v="0"/>
    <s v="TRK52137079"/>
    <n v="4"/>
    <s v="No COUPON"/>
    <s v="Instagram"/>
    <n v="595.54"/>
  </r>
  <r>
    <s v="ORD200885"/>
    <d v="2024-04-07T00:00:00"/>
    <s v="C61090"/>
    <x v="5"/>
    <n v="4"/>
    <n v="515.59"/>
    <s v="387 Main St"/>
    <s v="Credit Card"/>
    <x v="0"/>
    <s v="TRK36388962"/>
    <n v="7"/>
    <s v="FREESHIP"/>
    <s v="Google"/>
    <n v="2062.36"/>
  </r>
  <r>
    <s v="ORD200886"/>
    <d v="2023-10-25T00:00:00"/>
    <s v="C29620"/>
    <x v="1"/>
    <n v="1"/>
    <n v="460.13"/>
    <s v="792 Main St"/>
    <s v="Credit Card"/>
    <x v="2"/>
    <s v="TRK22046456"/>
    <n v="1"/>
    <s v="No COUPON"/>
    <s v="Google"/>
    <n v="460.13"/>
  </r>
  <r>
    <s v="ORD200887"/>
    <d v="2024-12-19T00:00:00"/>
    <s v="C67932"/>
    <x v="3"/>
    <n v="3"/>
    <n v="171.66"/>
    <s v="857 Main St"/>
    <s v="Debit Card"/>
    <x v="3"/>
    <s v="TRK88547534"/>
    <n v="7"/>
    <s v="No COUPON"/>
    <s v="Google"/>
    <n v="514.98"/>
  </r>
  <r>
    <s v="ORD200888"/>
    <d v="2024-07-23T00:00:00"/>
    <s v="C14427"/>
    <x v="5"/>
    <n v="2"/>
    <n v="266.95"/>
    <s v="833 Main St"/>
    <s v="Credit Card"/>
    <x v="4"/>
    <s v="TRK58024529"/>
    <n v="3"/>
    <s v="No COUPON"/>
    <s v="Instagram"/>
    <n v="533.9"/>
  </r>
  <r>
    <s v="ORD200889"/>
    <d v="2024-10-27T00:00:00"/>
    <s v="C36725"/>
    <x v="0"/>
    <n v="5"/>
    <n v="650.72"/>
    <s v="350 Main St"/>
    <s v="Credit Card"/>
    <x v="1"/>
    <s v="TRK16808790"/>
    <n v="8"/>
    <s v="WINTER15"/>
    <s v="Email"/>
    <n v="3253.6"/>
  </r>
  <r>
    <s v="ORD200890"/>
    <d v="2023-08-11T00:00:00"/>
    <s v="C51921"/>
    <x v="5"/>
    <n v="3"/>
    <n v="439.53"/>
    <s v="943 Main St"/>
    <s v="Debit Card"/>
    <x v="4"/>
    <s v="TRK85741716"/>
    <n v="5"/>
    <s v="No COUPON"/>
    <s v="Google"/>
    <n v="1318.59"/>
  </r>
  <r>
    <s v="ORD200891"/>
    <d v="2023-11-11T00:00:00"/>
    <s v="C36534"/>
    <x v="0"/>
    <n v="3"/>
    <n v="654.54"/>
    <s v="918 Main St"/>
    <s v="Cash"/>
    <x v="2"/>
    <s v="TRK38952138"/>
    <n v="7"/>
    <s v="SAVE10"/>
    <s v="Referral"/>
    <n v="1963.62"/>
  </r>
  <r>
    <s v="ORD200892"/>
    <d v="2024-06-04T00:00:00"/>
    <s v="C72043"/>
    <x v="6"/>
    <n v="1"/>
    <n v="394.53"/>
    <s v="480 Main St"/>
    <s v="Cash"/>
    <x v="0"/>
    <s v="TRK40896408"/>
    <n v="2"/>
    <s v="FREESHIP"/>
    <s v="Referral"/>
    <n v="394.53"/>
  </r>
  <r>
    <s v="ORD200893"/>
    <d v="2023-03-21T00:00:00"/>
    <s v="C99533"/>
    <x v="0"/>
    <n v="1"/>
    <n v="678.01"/>
    <s v="696 Main St"/>
    <s v="Cash"/>
    <x v="4"/>
    <s v="TRK55701253"/>
    <n v="4"/>
    <s v="FREESHIP"/>
    <s v="Referral"/>
    <n v="678.01"/>
  </r>
  <r>
    <s v="ORD200894"/>
    <d v="2023-05-23T00:00:00"/>
    <s v="C90852"/>
    <x v="2"/>
    <n v="3"/>
    <n v="575.01"/>
    <s v="852 Main St"/>
    <s v="Online"/>
    <x v="1"/>
    <s v="TRK37551831"/>
    <n v="8"/>
    <s v="WINTER15"/>
    <s v="Instagram"/>
    <n v="1725.03"/>
  </r>
  <r>
    <s v="ORD200895"/>
    <d v="2023-11-09T00:00:00"/>
    <s v="C81882"/>
    <x v="3"/>
    <n v="3"/>
    <n v="154.63999999999999"/>
    <s v="832 Main St"/>
    <s v="Debit Card"/>
    <x v="4"/>
    <s v="TRK62371264"/>
    <n v="6"/>
    <s v="WINTER15"/>
    <s v="Facebook"/>
    <n v="463.92"/>
  </r>
  <r>
    <s v="ORD200896"/>
    <d v="2024-10-18T00:00:00"/>
    <s v="C85466"/>
    <x v="6"/>
    <n v="3"/>
    <n v="147.29"/>
    <s v="102 Main St"/>
    <s v="Gift Card"/>
    <x v="0"/>
    <s v="TRK66764177"/>
    <n v="3"/>
    <s v="FREESHIP"/>
    <s v="Google"/>
    <n v="441.87"/>
  </r>
  <r>
    <s v="ORD200897"/>
    <d v="2024-09-03T00:00:00"/>
    <s v="C87995"/>
    <x v="5"/>
    <n v="4"/>
    <n v="481.48"/>
    <s v="358 Main St"/>
    <s v="Gift Card"/>
    <x v="3"/>
    <s v="TRK38730545"/>
    <n v="5"/>
    <s v="SAVE10"/>
    <s v="Instagram"/>
    <n v="1925.92"/>
  </r>
  <r>
    <s v="ORD200898"/>
    <d v="2025-03-05T00:00:00"/>
    <s v="C44619"/>
    <x v="0"/>
    <n v="3"/>
    <n v="158.37"/>
    <s v="742 Main St"/>
    <s v="Cash"/>
    <x v="0"/>
    <s v="TRK66662528"/>
    <n v="6"/>
    <s v="No COUPON"/>
    <s v="Referral"/>
    <n v="475.11"/>
  </r>
  <r>
    <s v="ORD200899"/>
    <d v="2025-04-23T00:00:00"/>
    <s v="C99904"/>
    <x v="4"/>
    <n v="2"/>
    <n v="323.37"/>
    <s v="552 Main St"/>
    <s v="Online"/>
    <x v="4"/>
    <s v="TRK83843411"/>
    <n v="3"/>
    <s v="SAVE10"/>
    <s v="Instagram"/>
    <n v="646.74"/>
  </r>
  <r>
    <s v="ORD200900"/>
    <d v="2025-02-07T00:00:00"/>
    <s v="C52342"/>
    <x v="5"/>
    <n v="5"/>
    <n v="73.83"/>
    <s v="991 Main St"/>
    <s v="Debit Card"/>
    <x v="4"/>
    <s v="TRK67342586"/>
    <n v="9"/>
    <s v="No COUPON"/>
    <s v="Instagram"/>
    <n v="369.15"/>
  </r>
  <r>
    <s v="ORD200901"/>
    <d v="2024-04-28T00:00:00"/>
    <s v="C44277"/>
    <x v="2"/>
    <n v="1"/>
    <n v="458.63"/>
    <s v="839 Main St"/>
    <s v="Debit Card"/>
    <x v="2"/>
    <s v="TRK79321479"/>
    <n v="4"/>
    <s v="WINTER15"/>
    <s v="Referral"/>
    <n v="458.63"/>
  </r>
  <r>
    <s v="ORD200902"/>
    <d v="2024-07-13T00:00:00"/>
    <s v="C61162"/>
    <x v="0"/>
    <n v="4"/>
    <n v="180.25"/>
    <s v="813 Main St"/>
    <s v="Debit Card"/>
    <x v="1"/>
    <s v="TRK76712124"/>
    <n v="7"/>
    <s v="No COUPON"/>
    <s v="Facebook"/>
    <n v="721"/>
  </r>
  <r>
    <s v="ORD200903"/>
    <d v="2023-05-17T00:00:00"/>
    <s v="C80868"/>
    <x v="0"/>
    <n v="3"/>
    <n v="473.49"/>
    <s v="205 Main St"/>
    <s v="Credit Card"/>
    <x v="4"/>
    <s v="TRK56186636"/>
    <n v="7"/>
    <s v="No COUPON"/>
    <s v="Email"/>
    <n v="1420.47"/>
  </r>
  <r>
    <s v="ORD200904"/>
    <d v="2025-02-05T00:00:00"/>
    <s v="C16693"/>
    <x v="0"/>
    <n v="4"/>
    <n v="237.43"/>
    <s v="262 Main St"/>
    <s v="Cash"/>
    <x v="1"/>
    <s v="TRK41146508"/>
    <n v="8"/>
    <s v="WINTER15"/>
    <s v="Referral"/>
    <n v="949.72"/>
  </r>
  <r>
    <s v="ORD200905"/>
    <d v="2023-11-23T00:00:00"/>
    <s v="C67818"/>
    <x v="5"/>
    <n v="1"/>
    <n v="442.39"/>
    <s v="101 Main St"/>
    <s v="Gift Card"/>
    <x v="4"/>
    <s v="TRK81978113"/>
    <n v="6"/>
    <s v="FREESHIP"/>
    <s v="Facebook"/>
    <n v="442.39"/>
  </r>
  <r>
    <s v="ORD200906"/>
    <d v="2024-09-03T00:00:00"/>
    <s v="C49938"/>
    <x v="0"/>
    <n v="1"/>
    <n v="62.12"/>
    <s v="141 Main St"/>
    <s v="Cash"/>
    <x v="2"/>
    <s v="TRK80175572"/>
    <n v="2"/>
    <s v="No COUPON"/>
    <s v="Email"/>
    <n v="62.12"/>
  </r>
  <r>
    <s v="ORD200907"/>
    <d v="2024-08-04T00:00:00"/>
    <s v="C90898"/>
    <x v="6"/>
    <n v="5"/>
    <n v="298.39"/>
    <s v="583 Main St"/>
    <s v="Gift Card"/>
    <x v="1"/>
    <s v="TRK52935170"/>
    <n v="7"/>
    <s v="WINTER15"/>
    <s v="Referral"/>
    <n v="1491.95"/>
  </r>
  <r>
    <s v="ORD200908"/>
    <d v="2025-05-06T00:00:00"/>
    <s v="C35117"/>
    <x v="6"/>
    <n v="2"/>
    <n v="697.93"/>
    <s v="332 Main St"/>
    <s v="Credit Card"/>
    <x v="1"/>
    <s v="TRK27155709"/>
    <n v="2"/>
    <s v="SAVE10"/>
    <s v="Google"/>
    <n v="1395.86"/>
  </r>
  <r>
    <s v="ORD200909"/>
    <d v="2024-05-27T00:00:00"/>
    <s v="C60203"/>
    <x v="2"/>
    <n v="2"/>
    <n v="291.85000000000002"/>
    <s v="569 Main St"/>
    <s v="Cash"/>
    <x v="0"/>
    <s v="TRK76525279"/>
    <n v="5"/>
    <s v="FREESHIP"/>
    <s v="Instagram"/>
    <n v="583.70000000000005"/>
  </r>
  <r>
    <s v="ORD200910"/>
    <d v="2024-05-31T00:00:00"/>
    <s v="C36174"/>
    <x v="4"/>
    <n v="3"/>
    <n v="308.98"/>
    <s v="348 Main St"/>
    <s v="Cash"/>
    <x v="3"/>
    <s v="TRK26397548"/>
    <n v="3"/>
    <s v="SAVE10"/>
    <s v="Instagram"/>
    <n v="926.94"/>
  </r>
  <r>
    <s v="ORD200911"/>
    <d v="2024-08-13T00:00:00"/>
    <s v="C80872"/>
    <x v="6"/>
    <n v="5"/>
    <n v="396.86"/>
    <s v="593 Main St"/>
    <s v="Cash"/>
    <x v="1"/>
    <s v="TRK43967487"/>
    <n v="9"/>
    <s v="SAVE10"/>
    <s v="Instagram"/>
    <n v="1984.3"/>
  </r>
  <r>
    <s v="ORD200912"/>
    <d v="2024-01-22T00:00:00"/>
    <s v="C67604"/>
    <x v="6"/>
    <n v="2"/>
    <n v="139.69"/>
    <s v="318 Main St"/>
    <s v="Online"/>
    <x v="2"/>
    <s v="TRK85545920"/>
    <n v="7"/>
    <s v="FREESHIP"/>
    <s v="Email"/>
    <n v="279.38"/>
  </r>
  <r>
    <s v="ORD200913"/>
    <d v="2023-02-16T00:00:00"/>
    <s v="C45599"/>
    <x v="4"/>
    <n v="5"/>
    <n v="475.95"/>
    <s v="505 Main St"/>
    <s v="Credit Card"/>
    <x v="2"/>
    <s v="TRK62277685"/>
    <n v="8"/>
    <s v="WINTER15"/>
    <s v="Facebook"/>
    <n v="2379.75"/>
  </r>
  <r>
    <s v="ORD200914"/>
    <d v="2025-02-10T00:00:00"/>
    <s v="C70352"/>
    <x v="6"/>
    <n v="1"/>
    <n v="626.6"/>
    <s v="955 Main St"/>
    <s v="Gift Card"/>
    <x v="2"/>
    <s v="TRK51589589"/>
    <n v="4"/>
    <s v="WINTER15"/>
    <s v="Facebook"/>
    <n v="626.6"/>
  </r>
  <r>
    <s v="ORD200915"/>
    <d v="2024-02-16T00:00:00"/>
    <s v="C20643"/>
    <x v="5"/>
    <n v="4"/>
    <n v="502.99"/>
    <s v="939 Main St"/>
    <s v="Debit Card"/>
    <x v="0"/>
    <s v="TRK30736692"/>
    <n v="4"/>
    <s v="WINTER15"/>
    <s v="Referral"/>
    <n v="2011.96"/>
  </r>
  <r>
    <s v="ORD200916"/>
    <d v="2024-06-21T00:00:00"/>
    <s v="C35669"/>
    <x v="4"/>
    <n v="5"/>
    <n v="578.83000000000004"/>
    <s v="165 Main St"/>
    <s v="Cash"/>
    <x v="2"/>
    <s v="TRK13928455"/>
    <n v="6"/>
    <s v="No COUPON"/>
    <s v="Referral"/>
    <n v="2894.15"/>
  </r>
  <r>
    <s v="ORD200917"/>
    <d v="2025-01-20T00:00:00"/>
    <s v="C65524"/>
    <x v="5"/>
    <n v="5"/>
    <n v="383.82"/>
    <s v="836 Main St"/>
    <s v="Credit Card"/>
    <x v="2"/>
    <s v="TRK19315310"/>
    <n v="7"/>
    <s v="FREESHIP"/>
    <s v="Google"/>
    <n v="1919.1"/>
  </r>
  <r>
    <s v="ORD200918"/>
    <d v="2025-06-24T00:00:00"/>
    <s v="C74359"/>
    <x v="5"/>
    <n v="5"/>
    <n v="368.25"/>
    <s v="706 Main St"/>
    <s v="Online"/>
    <x v="3"/>
    <s v="TRK18250450"/>
    <n v="5"/>
    <s v="No COUPON"/>
    <s v="Instagram"/>
    <n v="1841.25"/>
  </r>
  <r>
    <s v="ORD200919"/>
    <d v="2025-02-07T00:00:00"/>
    <s v="C92086"/>
    <x v="4"/>
    <n v="2"/>
    <n v="374.6"/>
    <s v="187 Main St"/>
    <s v="Online"/>
    <x v="0"/>
    <s v="TRK23357668"/>
    <n v="3"/>
    <s v="FREESHIP"/>
    <s v="Referral"/>
    <n v="749.2"/>
  </r>
  <r>
    <s v="ORD200920"/>
    <d v="2025-03-12T00:00:00"/>
    <s v="C26137"/>
    <x v="2"/>
    <n v="2"/>
    <n v="428.09"/>
    <s v="978 Main St"/>
    <s v="Credit Card"/>
    <x v="2"/>
    <s v="TRK98110407"/>
    <n v="6"/>
    <s v="No COUPON"/>
    <s v="Instagram"/>
    <n v="856.18"/>
  </r>
  <r>
    <s v="ORD200921"/>
    <d v="2023-07-24T00:00:00"/>
    <s v="C90573"/>
    <x v="2"/>
    <n v="1"/>
    <n v="438.93"/>
    <s v="144 Main St"/>
    <s v="Gift Card"/>
    <x v="1"/>
    <s v="TRK90075720"/>
    <n v="3"/>
    <s v="SAVE10"/>
    <s v="Referral"/>
    <n v="438.93"/>
  </r>
  <r>
    <s v="ORD200922"/>
    <d v="2024-06-17T00:00:00"/>
    <s v="C81857"/>
    <x v="6"/>
    <n v="2"/>
    <n v="563.82000000000005"/>
    <s v="487 Main St"/>
    <s v="Credit Card"/>
    <x v="4"/>
    <s v="TRK79737732"/>
    <n v="3"/>
    <s v="No COUPON"/>
    <s v="Instagram"/>
    <n v="1127.6400000000001"/>
  </r>
  <r>
    <s v="ORD200923"/>
    <d v="2023-02-11T00:00:00"/>
    <s v="C91582"/>
    <x v="4"/>
    <n v="3"/>
    <n v="649.92999999999995"/>
    <s v="836 Main St"/>
    <s v="Credit Card"/>
    <x v="4"/>
    <s v="TRK99938245"/>
    <n v="7"/>
    <s v="WINTER15"/>
    <s v="Facebook"/>
    <n v="1949.79"/>
  </r>
  <r>
    <s v="ORD200924"/>
    <d v="2025-03-22T00:00:00"/>
    <s v="C81319"/>
    <x v="4"/>
    <n v="5"/>
    <n v="268.43"/>
    <s v="991 Main St"/>
    <s v="Cash"/>
    <x v="2"/>
    <s v="TRK55330558"/>
    <n v="5"/>
    <s v="SAVE10"/>
    <s v="Email"/>
    <n v="1342.15"/>
  </r>
  <r>
    <s v="ORD200925"/>
    <d v="2024-12-20T00:00:00"/>
    <s v="C78500"/>
    <x v="0"/>
    <n v="5"/>
    <n v="502.47"/>
    <s v="304 Main St"/>
    <s v="Online"/>
    <x v="0"/>
    <s v="TRK97460884"/>
    <n v="10"/>
    <s v="WINTER15"/>
    <s v="Email"/>
    <n v="2512.35"/>
  </r>
  <r>
    <s v="ORD200926"/>
    <d v="2024-03-20T00:00:00"/>
    <s v="C67533"/>
    <x v="6"/>
    <n v="1"/>
    <n v="26.95"/>
    <s v="672 Main St"/>
    <s v="Cash"/>
    <x v="3"/>
    <s v="TRK14566395"/>
    <n v="1"/>
    <s v="WINTER15"/>
    <s v="Email"/>
    <n v="26.95"/>
  </r>
  <r>
    <s v="ORD200927"/>
    <d v="2023-02-14T00:00:00"/>
    <s v="C35566"/>
    <x v="5"/>
    <n v="4"/>
    <n v="64.69"/>
    <s v="638 Main St"/>
    <s v="Debit Card"/>
    <x v="0"/>
    <s v="TRK10003020"/>
    <n v="7"/>
    <s v="WINTER15"/>
    <s v="Google"/>
    <n v="258.76"/>
  </r>
  <r>
    <s v="ORD200928"/>
    <d v="2024-05-09T00:00:00"/>
    <s v="C77166"/>
    <x v="5"/>
    <n v="3"/>
    <n v="247.11"/>
    <s v="821 Main St"/>
    <s v="Debit Card"/>
    <x v="2"/>
    <s v="TRK18896595"/>
    <n v="3"/>
    <s v="WINTER15"/>
    <s v="Referral"/>
    <n v="741.33"/>
  </r>
  <r>
    <s v="ORD200929"/>
    <d v="2024-10-16T00:00:00"/>
    <s v="C67936"/>
    <x v="2"/>
    <n v="2"/>
    <n v="536.25"/>
    <s v="553 Main St"/>
    <s v="Debit Card"/>
    <x v="4"/>
    <s v="TRK71803414"/>
    <n v="3"/>
    <s v="No COUPON"/>
    <s v="Email"/>
    <n v="1072.5"/>
  </r>
  <r>
    <s v="ORD200930"/>
    <d v="2024-12-16T00:00:00"/>
    <s v="C59554"/>
    <x v="1"/>
    <n v="2"/>
    <n v="456.04"/>
    <s v="382 Main St"/>
    <s v="Debit Card"/>
    <x v="2"/>
    <s v="TRK28182447"/>
    <n v="4"/>
    <s v="FREESHIP"/>
    <s v="Email"/>
    <n v="912.08"/>
  </r>
  <r>
    <s v="ORD200931"/>
    <d v="2024-01-01T00:00:00"/>
    <s v="C14005"/>
    <x v="4"/>
    <n v="2"/>
    <n v="40.229999999999997"/>
    <s v="623 Main St"/>
    <s v="Credit Card"/>
    <x v="1"/>
    <s v="TRK87567926"/>
    <n v="4"/>
    <s v="SAVE10"/>
    <s v="Google"/>
    <n v="80.459999999999994"/>
  </r>
  <r>
    <s v="ORD200932"/>
    <d v="2023-03-26T00:00:00"/>
    <s v="C26118"/>
    <x v="5"/>
    <n v="2"/>
    <n v="72.39"/>
    <s v="168 Main St"/>
    <s v="Online"/>
    <x v="3"/>
    <s v="TRK15334251"/>
    <n v="7"/>
    <s v="WINTER15"/>
    <s v="Instagram"/>
    <n v="144.78"/>
  </r>
  <r>
    <s v="ORD200933"/>
    <d v="2023-01-26T00:00:00"/>
    <s v="C59685"/>
    <x v="0"/>
    <n v="2"/>
    <n v="394.16"/>
    <s v="255 Main St"/>
    <s v="Online"/>
    <x v="0"/>
    <s v="TRK43718093"/>
    <n v="2"/>
    <s v="No COUPON"/>
    <s v="Referral"/>
    <n v="788.32"/>
  </r>
  <r>
    <s v="ORD200934"/>
    <d v="2025-06-01T00:00:00"/>
    <s v="C40304"/>
    <x v="5"/>
    <n v="4"/>
    <n v="119.84"/>
    <s v="692 Main St"/>
    <s v="Gift Card"/>
    <x v="0"/>
    <s v="TRK85790948"/>
    <n v="8"/>
    <s v="FREESHIP"/>
    <s v="Referral"/>
    <n v="479.36"/>
  </r>
  <r>
    <s v="ORD200935"/>
    <d v="2023-11-24T00:00:00"/>
    <s v="C39593"/>
    <x v="1"/>
    <n v="3"/>
    <n v="692.71"/>
    <s v="398 Main St"/>
    <s v="Credit Card"/>
    <x v="3"/>
    <s v="TRK62405253"/>
    <n v="3"/>
    <s v="FREESHIP"/>
    <s v="Instagram"/>
    <n v="2078.13"/>
  </r>
  <r>
    <s v="ORD200936"/>
    <d v="2024-01-12T00:00:00"/>
    <s v="C50612"/>
    <x v="3"/>
    <n v="4"/>
    <n v="56.66"/>
    <s v="737 Main St"/>
    <s v="Online"/>
    <x v="3"/>
    <s v="TRK44140968"/>
    <n v="4"/>
    <s v="SAVE10"/>
    <s v="Instagram"/>
    <n v="226.64"/>
  </r>
  <r>
    <s v="ORD200937"/>
    <d v="2024-01-16T00:00:00"/>
    <s v="C39791"/>
    <x v="3"/>
    <n v="2"/>
    <n v="298.52999999999997"/>
    <s v="536 Main St"/>
    <s v="Debit Card"/>
    <x v="1"/>
    <s v="TRK46221436"/>
    <n v="5"/>
    <s v="WINTER15"/>
    <s v="Email"/>
    <n v="597.05999999999995"/>
  </r>
  <r>
    <s v="ORD200938"/>
    <d v="2023-07-12T00:00:00"/>
    <s v="C39017"/>
    <x v="3"/>
    <n v="3"/>
    <n v="331.46"/>
    <s v="696 Main St"/>
    <s v="Credit Card"/>
    <x v="1"/>
    <s v="TRK91155214"/>
    <n v="6"/>
    <s v="WINTER15"/>
    <s v="Referral"/>
    <n v="994.37999999999988"/>
  </r>
  <r>
    <s v="ORD200939"/>
    <d v="2025-04-16T00:00:00"/>
    <s v="C48510"/>
    <x v="5"/>
    <n v="2"/>
    <n v="521.4"/>
    <s v="212 Main St"/>
    <s v="Cash"/>
    <x v="3"/>
    <s v="TRK53152886"/>
    <n v="7"/>
    <s v="SAVE10"/>
    <s v="Instagram"/>
    <n v="1042.8"/>
  </r>
  <r>
    <s v="ORD200940"/>
    <d v="2023-03-27T00:00:00"/>
    <s v="C74003"/>
    <x v="4"/>
    <n v="4"/>
    <n v="305.32"/>
    <s v="679 Main St"/>
    <s v="Online"/>
    <x v="1"/>
    <s v="TRK91525779"/>
    <n v="4"/>
    <s v="SAVE10"/>
    <s v="Google"/>
    <n v="1221.28"/>
  </r>
  <r>
    <s v="ORD200941"/>
    <d v="2023-07-17T00:00:00"/>
    <s v="C91155"/>
    <x v="4"/>
    <n v="5"/>
    <n v="111.7"/>
    <s v="599 Main St"/>
    <s v="Credit Card"/>
    <x v="1"/>
    <s v="TRK82162952"/>
    <n v="9"/>
    <s v="FREESHIP"/>
    <s v="Email"/>
    <n v="558.5"/>
  </r>
  <r>
    <s v="ORD200942"/>
    <d v="2023-09-29T00:00:00"/>
    <s v="C17591"/>
    <x v="2"/>
    <n v="1"/>
    <n v="479.76"/>
    <s v="882 Main St"/>
    <s v="Credit Card"/>
    <x v="4"/>
    <s v="TRK56070470"/>
    <n v="1"/>
    <s v="No COUPON"/>
    <s v="Email"/>
    <n v="479.76"/>
  </r>
  <r>
    <s v="ORD200943"/>
    <d v="2023-12-27T00:00:00"/>
    <s v="C43330"/>
    <x v="0"/>
    <n v="3"/>
    <n v="193.49"/>
    <s v="355 Main St"/>
    <s v="Gift Card"/>
    <x v="2"/>
    <s v="TRK71594838"/>
    <n v="6"/>
    <s v="FREESHIP"/>
    <s v="Facebook"/>
    <n v="580.47"/>
  </r>
  <r>
    <s v="ORD200944"/>
    <d v="2024-12-16T00:00:00"/>
    <s v="C32687"/>
    <x v="5"/>
    <n v="2"/>
    <n v="426.22"/>
    <s v="448 Main St"/>
    <s v="Online"/>
    <x v="3"/>
    <s v="TRK98284560"/>
    <n v="7"/>
    <s v="WINTER15"/>
    <s v="Google"/>
    <n v="852.44"/>
  </r>
  <r>
    <s v="ORD200945"/>
    <d v="2023-08-20T00:00:00"/>
    <s v="C79722"/>
    <x v="2"/>
    <n v="5"/>
    <n v="276.44"/>
    <s v="619 Main St"/>
    <s v="Gift Card"/>
    <x v="0"/>
    <s v="TRK29976438"/>
    <n v="10"/>
    <s v="FREESHIP"/>
    <s v="Referral"/>
    <n v="1382.2"/>
  </r>
  <r>
    <s v="ORD200946"/>
    <d v="2024-05-04T00:00:00"/>
    <s v="C65021"/>
    <x v="1"/>
    <n v="2"/>
    <n v="404.96"/>
    <s v="546 Main St"/>
    <s v="Cash"/>
    <x v="0"/>
    <s v="TRK20626179"/>
    <n v="4"/>
    <s v="SAVE10"/>
    <s v="Email"/>
    <n v="809.92"/>
  </r>
  <r>
    <s v="ORD200947"/>
    <d v="2023-09-07T00:00:00"/>
    <s v="C85520"/>
    <x v="1"/>
    <n v="4"/>
    <n v="465.66"/>
    <s v="119 Main St"/>
    <s v="Online"/>
    <x v="2"/>
    <s v="TRK65994177"/>
    <n v="9"/>
    <s v="FREESHIP"/>
    <s v="Email"/>
    <n v="1862.64"/>
  </r>
  <r>
    <s v="ORD200948"/>
    <d v="2024-06-21T00:00:00"/>
    <s v="C94569"/>
    <x v="1"/>
    <n v="2"/>
    <n v="594.07000000000005"/>
    <s v="739 Main St"/>
    <s v="Gift Card"/>
    <x v="1"/>
    <s v="TRK79269291"/>
    <n v="2"/>
    <s v="No COUPON"/>
    <s v="Google"/>
    <n v="1188.1400000000001"/>
  </r>
  <r>
    <s v="ORD200949"/>
    <d v="2023-11-09T00:00:00"/>
    <s v="C55778"/>
    <x v="6"/>
    <n v="5"/>
    <n v="110.38"/>
    <s v="319 Main St"/>
    <s v="Cash"/>
    <x v="4"/>
    <s v="TRK93797108"/>
    <n v="10"/>
    <s v="No COUPON"/>
    <s v="Referral"/>
    <n v="551.9"/>
  </r>
  <r>
    <s v="ORD200950"/>
    <d v="2024-05-31T00:00:00"/>
    <s v="C19722"/>
    <x v="5"/>
    <n v="1"/>
    <n v="596.24"/>
    <s v="891 Main St"/>
    <s v="Credit Card"/>
    <x v="2"/>
    <s v="TRK78094361"/>
    <n v="4"/>
    <s v="FREESHIP"/>
    <s v="Instagram"/>
    <n v="596.24"/>
  </r>
  <r>
    <s v="ORD200951"/>
    <d v="2024-07-22T00:00:00"/>
    <s v="C74928"/>
    <x v="4"/>
    <n v="2"/>
    <n v="306.24"/>
    <s v="589 Main St"/>
    <s v="Online"/>
    <x v="2"/>
    <s v="TRK39845914"/>
    <n v="4"/>
    <s v="FREESHIP"/>
    <s v="Email"/>
    <n v="612.48"/>
  </r>
  <r>
    <s v="ORD200952"/>
    <d v="2025-02-27T00:00:00"/>
    <s v="C49111"/>
    <x v="0"/>
    <n v="3"/>
    <n v="503.39"/>
    <s v="225 Main St"/>
    <s v="Online"/>
    <x v="4"/>
    <s v="TRK45303393"/>
    <n v="5"/>
    <s v="No COUPON"/>
    <s v="Facebook"/>
    <n v="1510.17"/>
  </r>
  <r>
    <s v="ORD200953"/>
    <d v="2023-02-06T00:00:00"/>
    <s v="C43721"/>
    <x v="1"/>
    <n v="1"/>
    <n v="131.61000000000001"/>
    <s v="971 Main St"/>
    <s v="Cash"/>
    <x v="0"/>
    <s v="TRK89392104"/>
    <n v="2"/>
    <s v="FREESHIP"/>
    <s v="Facebook"/>
    <n v="131.61000000000001"/>
  </r>
  <r>
    <s v="ORD200954"/>
    <d v="2024-10-22T00:00:00"/>
    <s v="C68609"/>
    <x v="3"/>
    <n v="3"/>
    <n v="443.44"/>
    <s v="240 Main St"/>
    <s v="Gift Card"/>
    <x v="0"/>
    <s v="TRK58273778"/>
    <n v="3"/>
    <s v="FREESHIP"/>
    <s v="Google"/>
    <n v="1330.32"/>
  </r>
  <r>
    <s v="ORD200955"/>
    <d v="2023-01-23T00:00:00"/>
    <s v="C82068"/>
    <x v="3"/>
    <n v="1"/>
    <n v="408.13"/>
    <s v="164 Main St"/>
    <s v="Gift Card"/>
    <x v="0"/>
    <s v="TRK25779180"/>
    <n v="3"/>
    <s v="WINTER15"/>
    <s v="Instagram"/>
    <n v="408.13"/>
  </r>
  <r>
    <s v="ORD200956"/>
    <d v="2024-04-11T00:00:00"/>
    <s v="C21191"/>
    <x v="1"/>
    <n v="2"/>
    <n v="160.97999999999999"/>
    <s v="381 Main St"/>
    <s v="Debit Card"/>
    <x v="3"/>
    <s v="TRK86246309"/>
    <n v="3"/>
    <s v="SAVE10"/>
    <s v="Referral"/>
    <n v="321.95999999999998"/>
  </r>
  <r>
    <s v="ORD200957"/>
    <d v="2023-01-12T00:00:00"/>
    <s v="C73575"/>
    <x v="0"/>
    <n v="5"/>
    <n v="643.89"/>
    <s v="851 Main St"/>
    <s v="Cash"/>
    <x v="2"/>
    <s v="TRK23387612"/>
    <n v="8"/>
    <s v="WINTER15"/>
    <s v="Facebook"/>
    <n v="3219.45"/>
  </r>
  <r>
    <s v="ORD200958"/>
    <d v="2023-05-13T00:00:00"/>
    <s v="C82685"/>
    <x v="6"/>
    <n v="3"/>
    <n v="158.66"/>
    <s v="537 Main St"/>
    <s v="Gift Card"/>
    <x v="3"/>
    <s v="TRK70184320"/>
    <n v="7"/>
    <s v="WINTER15"/>
    <s v="Email"/>
    <n v="475.98"/>
  </r>
  <r>
    <s v="ORD200959"/>
    <d v="2024-04-13T00:00:00"/>
    <s v="C73996"/>
    <x v="2"/>
    <n v="2"/>
    <n v="143.82"/>
    <s v="856 Main St"/>
    <s v="Credit Card"/>
    <x v="2"/>
    <s v="TRK74579570"/>
    <n v="6"/>
    <s v="SAVE10"/>
    <s v="Instagram"/>
    <n v="287.64"/>
  </r>
  <r>
    <s v="ORD200960"/>
    <d v="2023-12-11T00:00:00"/>
    <s v="C87687"/>
    <x v="5"/>
    <n v="3"/>
    <n v="379.07"/>
    <s v="312 Main St"/>
    <s v="Gift Card"/>
    <x v="4"/>
    <s v="TRK60383805"/>
    <n v="3"/>
    <s v="WINTER15"/>
    <s v="Google"/>
    <n v="1137.21"/>
  </r>
  <r>
    <s v="ORD200961"/>
    <d v="2024-11-11T00:00:00"/>
    <s v="C55464"/>
    <x v="1"/>
    <n v="1"/>
    <n v="601.36"/>
    <s v="532 Main St"/>
    <s v="Online"/>
    <x v="0"/>
    <s v="TRK81178598"/>
    <n v="1"/>
    <s v="No COUPON"/>
    <s v="Facebook"/>
    <n v="601.36"/>
  </r>
  <r>
    <s v="ORD200962"/>
    <d v="2024-09-06T00:00:00"/>
    <s v="C12459"/>
    <x v="1"/>
    <n v="2"/>
    <n v="142.08000000000001"/>
    <s v="838 Main St"/>
    <s v="Gift Card"/>
    <x v="3"/>
    <s v="TRK30674085"/>
    <n v="4"/>
    <s v="SAVE10"/>
    <s v="Referral"/>
    <n v="284.16000000000003"/>
  </r>
  <r>
    <s v="ORD200963"/>
    <d v="2024-03-11T00:00:00"/>
    <s v="C88075"/>
    <x v="3"/>
    <n v="5"/>
    <n v="530.34"/>
    <s v="970 Main St"/>
    <s v="Online"/>
    <x v="0"/>
    <s v="TRK42832976"/>
    <n v="9"/>
    <s v="FREESHIP"/>
    <s v="Google"/>
    <n v="2651.7"/>
  </r>
  <r>
    <s v="ORD200964"/>
    <d v="2023-08-20T00:00:00"/>
    <s v="C18583"/>
    <x v="1"/>
    <n v="5"/>
    <n v="364.42"/>
    <s v="778 Main St"/>
    <s v="Credit Card"/>
    <x v="1"/>
    <s v="TRK43084595"/>
    <n v="10"/>
    <s v="SAVE10"/>
    <s v="Referral"/>
    <n v="1822.1"/>
  </r>
  <r>
    <s v="ORD200965"/>
    <d v="2025-06-18T00:00:00"/>
    <s v="C70412"/>
    <x v="5"/>
    <n v="4"/>
    <n v="578.28"/>
    <s v="791 Main St"/>
    <s v="Gift Card"/>
    <x v="1"/>
    <s v="TRK22192783"/>
    <n v="5"/>
    <s v="FREESHIP"/>
    <s v="Email"/>
    <n v="2313.12"/>
  </r>
  <r>
    <s v="ORD200966"/>
    <d v="2025-05-20T00:00:00"/>
    <s v="C58503"/>
    <x v="0"/>
    <n v="5"/>
    <n v="280.52"/>
    <s v="290 Main St"/>
    <s v="Credit Card"/>
    <x v="1"/>
    <s v="TRK12981657"/>
    <n v="7"/>
    <s v="WINTER15"/>
    <s v="Facebook"/>
    <n v="1402.6"/>
  </r>
  <r>
    <s v="ORD200967"/>
    <d v="2025-05-06T00:00:00"/>
    <s v="C52879"/>
    <x v="2"/>
    <n v="5"/>
    <n v="638.91999999999996"/>
    <s v="502 Main St"/>
    <s v="Credit Card"/>
    <x v="2"/>
    <s v="TRK67403284"/>
    <n v="5"/>
    <s v="FREESHIP"/>
    <s v="Google"/>
    <n v="3194.6"/>
  </r>
  <r>
    <s v="ORD200968"/>
    <d v="2024-02-08T00:00:00"/>
    <s v="C67870"/>
    <x v="0"/>
    <n v="4"/>
    <n v="412.2"/>
    <s v="664 Main St"/>
    <s v="Credit Card"/>
    <x v="0"/>
    <s v="TRK72602178"/>
    <n v="6"/>
    <s v="WINTER15"/>
    <s v="Referral"/>
    <n v="1648.8"/>
  </r>
  <r>
    <s v="ORD200969"/>
    <d v="2025-06-05T00:00:00"/>
    <s v="C19439"/>
    <x v="6"/>
    <n v="1"/>
    <n v="440.34"/>
    <s v="675 Main St"/>
    <s v="Gift Card"/>
    <x v="0"/>
    <s v="TRK25383993"/>
    <n v="2"/>
    <s v="WINTER15"/>
    <s v="Facebook"/>
    <n v="440.34"/>
  </r>
  <r>
    <s v="ORD200970"/>
    <d v="2024-09-07T00:00:00"/>
    <s v="C72664"/>
    <x v="6"/>
    <n v="1"/>
    <n v="627.15"/>
    <s v="241 Main St"/>
    <s v="Cash"/>
    <x v="3"/>
    <s v="TRK86694331"/>
    <n v="5"/>
    <s v="SAVE10"/>
    <s v="Instagram"/>
    <n v="627.15"/>
  </r>
  <r>
    <s v="ORD200971"/>
    <d v="2024-05-27T00:00:00"/>
    <s v="C32650"/>
    <x v="0"/>
    <n v="2"/>
    <n v="605.26"/>
    <s v="934 Main St"/>
    <s v="Cash"/>
    <x v="1"/>
    <s v="TRK66648743"/>
    <n v="4"/>
    <s v="WINTER15"/>
    <s v="Referral"/>
    <n v="1210.52"/>
  </r>
  <r>
    <s v="ORD200972"/>
    <d v="2024-06-09T00:00:00"/>
    <s v="C66438"/>
    <x v="5"/>
    <n v="1"/>
    <n v="90.27"/>
    <s v="816 Main St"/>
    <s v="Cash"/>
    <x v="3"/>
    <s v="TRK32035271"/>
    <n v="5"/>
    <s v="SAVE10"/>
    <s v="Facebook"/>
    <n v="90.27"/>
  </r>
  <r>
    <s v="ORD200973"/>
    <d v="2025-06-09T00:00:00"/>
    <s v="C70010"/>
    <x v="6"/>
    <n v="5"/>
    <n v="230.77"/>
    <s v="141 Main St"/>
    <s v="Online"/>
    <x v="4"/>
    <s v="TRK50594008"/>
    <n v="10"/>
    <s v="WINTER15"/>
    <s v="Referral"/>
    <n v="1153.8499999999999"/>
  </r>
  <r>
    <s v="ORD200974"/>
    <d v="2023-09-27T00:00:00"/>
    <s v="C30722"/>
    <x v="6"/>
    <n v="5"/>
    <n v="266.77999999999997"/>
    <s v="274 Main St"/>
    <s v="Gift Card"/>
    <x v="1"/>
    <s v="TRK52088168"/>
    <n v="5"/>
    <s v="No COUPON"/>
    <s v="Email"/>
    <n v="1333.9"/>
  </r>
  <r>
    <s v="ORD200975"/>
    <d v="2023-05-18T00:00:00"/>
    <s v="C70529"/>
    <x v="6"/>
    <n v="1"/>
    <n v="105.92"/>
    <s v="974 Main St"/>
    <s v="Gift Card"/>
    <x v="2"/>
    <s v="TRK82165408"/>
    <n v="6"/>
    <s v="SAVE10"/>
    <s v="Email"/>
    <n v="105.92"/>
  </r>
  <r>
    <s v="ORD200976"/>
    <d v="2024-04-04T00:00:00"/>
    <s v="C18984"/>
    <x v="2"/>
    <n v="3"/>
    <n v="589.29999999999995"/>
    <s v="650 Main St"/>
    <s v="Credit Card"/>
    <x v="2"/>
    <s v="TRK49298239"/>
    <n v="6"/>
    <s v="WINTER15"/>
    <s v="Referral"/>
    <n v="1767.9"/>
  </r>
  <r>
    <s v="ORD200977"/>
    <d v="2023-01-28T00:00:00"/>
    <s v="C85841"/>
    <x v="3"/>
    <n v="4"/>
    <n v="649.47"/>
    <s v="608 Main St"/>
    <s v="Cash"/>
    <x v="4"/>
    <s v="TRK99820544"/>
    <n v="8"/>
    <s v="SAVE10"/>
    <s v="Google"/>
    <n v="2597.88"/>
  </r>
  <r>
    <s v="ORD200978"/>
    <d v="2024-06-25T00:00:00"/>
    <s v="C41508"/>
    <x v="4"/>
    <n v="4"/>
    <n v="107.49"/>
    <s v="993 Main St"/>
    <s v="Cash"/>
    <x v="3"/>
    <s v="TRK61047536"/>
    <n v="5"/>
    <s v="No COUPON"/>
    <s v="Google"/>
    <n v="429.96"/>
  </r>
  <r>
    <s v="ORD200979"/>
    <d v="2023-05-31T00:00:00"/>
    <s v="C75018"/>
    <x v="0"/>
    <n v="3"/>
    <n v="669.06"/>
    <s v="299 Main St"/>
    <s v="Cash"/>
    <x v="3"/>
    <s v="TRK51794806"/>
    <n v="7"/>
    <s v="SAVE10"/>
    <s v="Facebook"/>
    <n v="2007.18"/>
  </r>
  <r>
    <s v="ORD200980"/>
    <d v="2023-10-14T00:00:00"/>
    <s v="C84320"/>
    <x v="3"/>
    <n v="3"/>
    <n v="69.650000000000006"/>
    <s v="107 Main St"/>
    <s v="Cash"/>
    <x v="3"/>
    <s v="TRK81093218"/>
    <n v="7"/>
    <s v="WINTER15"/>
    <s v="Instagram"/>
    <n v="208.95"/>
  </r>
  <r>
    <s v="ORD200981"/>
    <d v="2023-11-26T00:00:00"/>
    <s v="C12609"/>
    <x v="1"/>
    <n v="4"/>
    <n v="136.83000000000001"/>
    <s v="490 Main St"/>
    <s v="Debit Card"/>
    <x v="4"/>
    <s v="TRK56379337"/>
    <n v="8"/>
    <s v="SAVE10"/>
    <s v="Email"/>
    <n v="547.32000000000005"/>
  </r>
  <r>
    <s v="ORD200982"/>
    <d v="2024-09-06T00:00:00"/>
    <s v="C64935"/>
    <x v="0"/>
    <n v="1"/>
    <n v="304.11"/>
    <s v="707 Main St"/>
    <s v="Gift Card"/>
    <x v="0"/>
    <s v="TRK42969065"/>
    <n v="2"/>
    <s v="SAVE10"/>
    <s v="Referral"/>
    <n v="304.11"/>
  </r>
  <r>
    <s v="ORD200983"/>
    <d v="2024-11-24T00:00:00"/>
    <s v="C67528"/>
    <x v="0"/>
    <n v="4"/>
    <n v="296.27999999999997"/>
    <s v="110 Main St"/>
    <s v="Gift Card"/>
    <x v="0"/>
    <s v="TRK60865210"/>
    <n v="5"/>
    <s v="SAVE10"/>
    <s v="Email"/>
    <n v="1185.1199999999999"/>
  </r>
  <r>
    <s v="ORD200984"/>
    <d v="2025-02-28T00:00:00"/>
    <s v="C44176"/>
    <x v="6"/>
    <n v="1"/>
    <n v="77.64"/>
    <s v="706 Main St"/>
    <s v="Credit Card"/>
    <x v="0"/>
    <s v="TRK68704764"/>
    <n v="1"/>
    <s v="FREESHIP"/>
    <s v="Facebook"/>
    <n v="77.64"/>
  </r>
  <r>
    <s v="ORD200985"/>
    <d v="2024-07-20T00:00:00"/>
    <s v="C92788"/>
    <x v="6"/>
    <n v="1"/>
    <n v="243.71"/>
    <s v="948 Main St"/>
    <s v="Gift Card"/>
    <x v="3"/>
    <s v="TRK83835361"/>
    <n v="6"/>
    <s v="SAVE10"/>
    <s v="Google"/>
    <n v="243.71"/>
  </r>
  <r>
    <s v="ORD200986"/>
    <d v="2024-09-07T00:00:00"/>
    <s v="C69213"/>
    <x v="5"/>
    <n v="4"/>
    <n v="644.96"/>
    <s v="533 Main St"/>
    <s v="Credit Card"/>
    <x v="4"/>
    <s v="TRK67837331"/>
    <n v="7"/>
    <s v="FREESHIP"/>
    <s v="Email"/>
    <n v="2579.84"/>
  </r>
  <r>
    <s v="ORD200987"/>
    <d v="2025-06-05T00:00:00"/>
    <s v="C67387"/>
    <x v="1"/>
    <n v="5"/>
    <n v="283.73"/>
    <s v="436 Main St"/>
    <s v="Gift Card"/>
    <x v="4"/>
    <s v="TRK54120003"/>
    <n v="8"/>
    <s v="FREESHIP"/>
    <s v="Instagram"/>
    <n v="1418.65"/>
  </r>
  <r>
    <s v="ORD200988"/>
    <d v="2025-02-04T00:00:00"/>
    <s v="C90318"/>
    <x v="6"/>
    <n v="2"/>
    <n v="629.55999999999995"/>
    <s v="818 Main St"/>
    <s v="Gift Card"/>
    <x v="1"/>
    <s v="TRK52765043"/>
    <n v="5"/>
    <s v="WINTER15"/>
    <s v="Instagram"/>
    <n v="1259.1199999999999"/>
  </r>
  <r>
    <s v="ORD200989"/>
    <d v="2023-03-23T00:00:00"/>
    <s v="C49995"/>
    <x v="5"/>
    <n v="4"/>
    <n v="246.11"/>
    <s v="559 Main St"/>
    <s v="Credit Card"/>
    <x v="4"/>
    <s v="TRK33212013"/>
    <n v="4"/>
    <s v="SAVE10"/>
    <s v="Instagram"/>
    <n v="984.44"/>
  </r>
  <r>
    <s v="ORD200990"/>
    <d v="2023-11-19T00:00:00"/>
    <s v="C52313"/>
    <x v="1"/>
    <n v="2"/>
    <n v="418.26"/>
    <s v="913 Main St"/>
    <s v="Debit Card"/>
    <x v="4"/>
    <s v="TRK67368559"/>
    <n v="2"/>
    <s v="SAVE10"/>
    <s v="Google"/>
    <n v="836.52"/>
  </r>
  <r>
    <s v="ORD200991"/>
    <d v="2024-05-09T00:00:00"/>
    <s v="C10211"/>
    <x v="6"/>
    <n v="5"/>
    <n v="127.18"/>
    <s v="598 Main St"/>
    <s v="Debit Card"/>
    <x v="1"/>
    <s v="TRK68938335"/>
    <n v="10"/>
    <s v="FREESHIP"/>
    <s v="Google"/>
    <n v="635.90000000000009"/>
  </r>
  <r>
    <s v="ORD200992"/>
    <d v="2024-08-27T00:00:00"/>
    <s v="C97907"/>
    <x v="4"/>
    <n v="3"/>
    <n v="586.21"/>
    <s v="933 Main St"/>
    <s v="Gift Card"/>
    <x v="4"/>
    <s v="TRK89637569"/>
    <n v="4"/>
    <s v="WINTER15"/>
    <s v="Referral"/>
    <n v="1758.63"/>
  </r>
  <r>
    <s v="ORD200993"/>
    <d v="2024-04-06T00:00:00"/>
    <s v="C61384"/>
    <x v="0"/>
    <n v="3"/>
    <n v="267.45"/>
    <s v="576 Main St"/>
    <s v="Gift Card"/>
    <x v="3"/>
    <s v="TRK33323210"/>
    <n v="5"/>
    <s v="WINTER15"/>
    <s v="Instagram"/>
    <n v="802.34999999999991"/>
  </r>
  <r>
    <s v="ORD200994"/>
    <d v="2024-06-27T00:00:00"/>
    <s v="C27613"/>
    <x v="2"/>
    <n v="4"/>
    <n v="615.65"/>
    <s v="971 Main St"/>
    <s v="Debit Card"/>
    <x v="3"/>
    <s v="TRK63701318"/>
    <n v="9"/>
    <s v="WINTER15"/>
    <s v="Google"/>
    <n v="2462.6"/>
  </r>
  <r>
    <s v="ORD200995"/>
    <d v="2023-11-18T00:00:00"/>
    <s v="C99271"/>
    <x v="0"/>
    <n v="2"/>
    <n v="113.29"/>
    <s v="959 Main St"/>
    <s v="Cash"/>
    <x v="4"/>
    <s v="TRK87832736"/>
    <n v="5"/>
    <s v="SAVE10"/>
    <s v="Facebook"/>
    <n v="226.58"/>
  </r>
  <r>
    <s v="ORD200996"/>
    <d v="2024-04-28T00:00:00"/>
    <s v="C28648"/>
    <x v="0"/>
    <n v="4"/>
    <n v="473.86"/>
    <s v="101 Main St"/>
    <s v="Debit Card"/>
    <x v="3"/>
    <s v="TRK92240846"/>
    <n v="7"/>
    <s v="SAVE10"/>
    <s v="Facebook"/>
    <n v="1895.44"/>
  </r>
  <r>
    <s v="ORD200997"/>
    <d v="2023-11-27T00:00:00"/>
    <s v="C26210"/>
    <x v="5"/>
    <n v="3"/>
    <n v="444.75"/>
    <s v="805 Main St"/>
    <s v="Cash"/>
    <x v="3"/>
    <s v="TRK40616861"/>
    <n v="6"/>
    <s v="SAVE10"/>
    <s v="Facebook"/>
    <n v="1334.25"/>
  </r>
  <r>
    <s v="ORD200998"/>
    <d v="2023-05-19T00:00:00"/>
    <s v="C90350"/>
    <x v="1"/>
    <n v="2"/>
    <n v="183.67"/>
    <s v="783 Main St"/>
    <s v="Debit Card"/>
    <x v="1"/>
    <s v="TRK22824230"/>
    <n v="6"/>
    <s v="SAVE10"/>
    <s v="Google"/>
    <n v="367.34"/>
  </r>
  <r>
    <s v="ORD200999"/>
    <d v="2023-12-24T00:00:00"/>
    <s v="C61957"/>
    <x v="4"/>
    <n v="1"/>
    <n v="483.38"/>
    <s v="652 Main St"/>
    <s v="Cash"/>
    <x v="4"/>
    <s v="TRK43983841"/>
    <n v="6"/>
    <s v="FREESHIP"/>
    <s v="Google"/>
    <n v="483.38"/>
  </r>
  <r>
    <s v="ORD201000"/>
    <d v="2023-06-21T00:00:00"/>
    <s v="C90132"/>
    <x v="4"/>
    <n v="5"/>
    <n v="260.93"/>
    <s v="582 Main St"/>
    <s v="Online"/>
    <x v="3"/>
    <s v="TRK52664903"/>
    <n v="9"/>
    <s v="SAVE10"/>
    <s v="Email"/>
    <n v="1304.6500000000001"/>
  </r>
  <r>
    <s v="ORD201001"/>
    <d v="2023-12-08T00:00:00"/>
    <s v="C31371"/>
    <x v="4"/>
    <n v="2"/>
    <n v="253.68"/>
    <s v="122 Main St"/>
    <s v="Gift Card"/>
    <x v="0"/>
    <s v="TRK19554327"/>
    <n v="6"/>
    <s v="No COUPON"/>
    <s v="Referral"/>
    <n v="507.36"/>
  </r>
  <r>
    <s v="ORD201002"/>
    <d v="2025-06-19T00:00:00"/>
    <s v="C83911"/>
    <x v="2"/>
    <n v="4"/>
    <n v="699.88"/>
    <s v="944 Main St"/>
    <s v="Cash"/>
    <x v="4"/>
    <s v="TRK33188106"/>
    <n v="5"/>
    <s v="WINTER15"/>
    <s v="Referral"/>
    <n v="2799.52"/>
  </r>
  <r>
    <s v="ORD201003"/>
    <d v="2023-01-11T00:00:00"/>
    <s v="C84700"/>
    <x v="4"/>
    <n v="5"/>
    <n v="319.97000000000003"/>
    <s v="582 Main St"/>
    <s v="Cash"/>
    <x v="0"/>
    <s v="TRK14706969"/>
    <n v="7"/>
    <s v="SAVE10"/>
    <s v="Google"/>
    <n v="1599.85"/>
  </r>
  <r>
    <s v="ORD201004"/>
    <d v="2025-06-09T00:00:00"/>
    <s v="C87529"/>
    <x v="3"/>
    <n v="4"/>
    <n v="246.91"/>
    <s v="296 Main St"/>
    <s v="Online"/>
    <x v="4"/>
    <s v="TRK15739505"/>
    <n v="8"/>
    <s v="SAVE10"/>
    <s v="Referral"/>
    <n v="987.64"/>
  </r>
  <r>
    <s v="ORD201005"/>
    <d v="2023-03-02T00:00:00"/>
    <s v="C38065"/>
    <x v="4"/>
    <n v="3"/>
    <n v="392.85"/>
    <s v="426 Main St"/>
    <s v="Credit Card"/>
    <x v="2"/>
    <s v="TRK11448295"/>
    <n v="6"/>
    <s v="No COUPON"/>
    <s v="Google"/>
    <n v="1178.55"/>
  </r>
  <r>
    <s v="ORD201006"/>
    <d v="2024-05-27T00:00:00"/>
    <s v="C27435"/>
    <x v="2"/>
    <n v="5"/>
    <n v="420.98"/>
    <s v="860 Main St"/>
    <s v="Cash"/>
    <x v="3"/>
    <s v="TRK91458233"/>
    <n v="7"/>
    <s v="SAVE10"/>
    <s v="Facebook"/>
    <n v="2104.9"/>
  </r>
  <r>
    <s v="ORD201007"/>
    <d v="2024-03-20T00:00:00"/>
    <s v="C46651"/>
    <x v="0"/>
    <n v="2"/>
    <n v="73.260000000000005"/>
    <s v="839 Main St"/>
    <s v="Cash"/>
    <x v="4"/>
    <s v="TRK60444502"/>
    <n v="4"/>
    <s v="WINTER15"/>
    <s v="Facebook"/>
    <n v="146.52000000000001"/>
  </r>
  <r>
    <s v="ORD201008"/>
    <d v="2023-01-13T00:00:00"/>
    <s v="C62557"/>
    <x v="0"/>
    <n v="3"/>
    <n v="410.88"/>
    <s v="257 Main St"/>
    <s v="Cash"/>
    <x v="3"/>
    <s v="TRK12742366"/>
    <n v="8"/>
    <s v="FREESHIP"/>
    <s v="Instagram"/>
    <n v="1232.6400000000001"/>
  </r>
  <r>
    <s v="ORD201009"/>
    <d v="2023-09-02T00:00:00"/>
    <s v="C54494"/>
    <x v="2"/>
    <n v="2"/>
    <n v="176.46"/>
    <s v="696 Main St"/>
    <s v="Credit Card"/>
    <x v="3"/>
    <s v="TRK95958645"/>
    <n v="2"/>
    <s v="FREESHIP"/>
    <s v="Email"/>
    <n v="352.92"/>
  </r>
  <r>
    <s v="ORD201010"/>
    <d v="2023-03-31T00:00:00"/>
    <s v="C33729"/>
    <x v="0"/>
    <n v="3"/>
    <n v="659.57"/>
    <s v="533 Main St"/>
    <s v="Credit Card"/>
    <x v="1"/>
    <s v="TRK35649833"/>
    <n v="6"/>
    <s v="SAVE10"/>
    <s v="Email"/>
    <n v="1978.71"/>
  </r>
  <r>
    <s v="ORD201011"/>
    <d v="2024-12-03T00:00:00"/>
    <s v="C47823"/>
    <x v="1"/>
    <n v="2"/>
    <n v="478.36"/>
    <s v="654 Main St"/>
    <s v="Online"/>
    <x v="0"/>
    <s v="TRK22271097"/>
    <n v="3"/>
    <s v="No COUPON"/>
    <s v="Google"/>
    <n v="956.72"/>
  </r>
  <r>
    <s v="ORD201012"/>
    <d v="2024-12-03T00:00:00"/>
    <s v="C84570"/>
    <x v="4"/>
    <n v="4"/>
    <n v="30.05"/>
    <s v="301 Main St"/>
    <s v="Online"/>
    <x v="2"/>
    <s v="TRK12551882"/>
    <n v="6"/>
    <s v="No COUPON"/>
    <s v="Facebook"/>
    <n v="120.2"/>
  </r>
  <r>
    <s v="ORD201013"/>
    <d v="2025-04-26T00:00:00"/>
    <s v="C91123"/>
    <x v="5"/>
    <n v="4"/>
    <n v="300.56"/>
    <s v="842 Main St"/>
    <s v="Cash"/>
    <x v="1"/>
    <s v="TRK49568409"/>
    <n v="9"/>
    <s v="FREESHIP"/>
    <s v="Facebook"/>
    <n v="1202.24"/>
  </r>
  <r>
    <s v="ORD201014"/>
    <d v="2024-02-04T00:00:00"/>
    <s v="C92548"/>
    <x v="2"/>
    <n v="5"/>
    <n v="226.45"/>
    <s v="160 Main St"/>
    <s v="Debit Card"/>
    <x v="2"/>
    <s v="TRK21682892"/>
    <n v="6"/>
    <s v="FREESHIP"/>
    <s v="Email"/>
    <n v="1132.25"/>
  </r>
  <r>
    <s v="ORD201015"/>
    <d v="2024-01-26T00:00:00"/>
    <s v="C97454"/>
    <x v="4"/>
    <n v="2"/>
    <n v="349.4"/>
    <s v="892 Main St"/>
    <s v="Online"/>
    <x v="0"/>
    <s v="TRK73249329"/>
    <n v="2"/>
    <s v="SAVE10"/>
    <s v="Instagram"/>
    <n v="698.8"/>
  </r>
  <r>
    <s v="ORD201016"/>
    <d v="2023-12-29T00:00:00"/>
    <s v="C20257"/>
    <x v="2"/>
    <n v="5"/>
    <n v="268.77999999999997"/>
    <s v="669 Main St"/>
    <s v="Debit Card"/>
    <x v="3"/>
    <s v="TRK62135578"/>
    <n v="7"/>
    <s v="WINTER15"/>
    <s v="Email"/>
    <n v="1343.9"/>
  </r>
  <r>
    <s v="ORD201017"/>
    <d v="2024-08-25T00:00:00"/>
    <s v="C51694"/>
    <x v="3"/>
    <n v="2"/>
    <n v="680.85"/>
    <s v="953 Main St"/>
    <s v="Gift Card"/>
    <x v="3"/>
    <s v="TRK83122112"/>
    <n v="6"/>
    <s v="FREESHIP"/>
    <s v="Referral"/>
    <n v="1361.7"/>
  </r>
  <r>
    <s v="ORD201018"/>
    <d v="2023-07-08T00:00:00"/>
    <s v="C77499"/>
    <x v="5"/>
    <n v="3"/>
    <n v="182.48"/>
    <s v="209 Main St"/>
    <s v="Cash"/>
    <x v="3"/>
    <s v="TRK20703086"/>
    <n v="3"/>
    <s v="No COUPON"/>
    <s v="Instagram"/>
    <n v="547.43999999999994"/>
  </r>
  <r>
    <s v="ORD201019"/>
    <d v="2024-04-06T00:00:00"/>
    <s v="C28386"/>
    <x v="6"/>
    <n v="1"/>
    <n v="277.08999999999997"/>
    <s v="293 Main St"/>
    <s v="Cash"/>
    <x v="2"/>
    <s v="TRK32954229"/>
    <n v="2"/>
    <s v="SAVE10"/>
    <s v="Referral"/>
    <n v="277.08999999999997"/>
  </r>
  <r>
    <s v="ORD201020"/>
    <d v="2024-04-22T00:00:00"/>
    <s v="C50211"/>
    <x v="2"/>
    <n v="2"/>
    <n v="26.5"/>
    <s v="312 Main St"/>
    <s v="Online"/>
    <x v="3"/>
    <s v="TRK47787981"/>
    <n v="3"/>
    <s v="SAVE10"/>
    <s v="Instagram"/>
    <n v="53"/>
  </r>
  <r>
    <s v="ORD201021"/>
    <d v="2023-10-23T00:00:00"/>
    <s v="C74519"/>
    <x v="1"/>
    <n v="3"/>
    <n v="315.27"/>
    <s v="309 Main St"/>
    <s v="Credit Card"/>
    <x v="1"/>
    <s v="TRK97351945"/>
    <n v="4"/>
    <s v="SAVE10"/>
    <s v="Email"/>
    <n v="945.81"/>
  </r>
  <r>
    <s v="ORD201022"/>
    <d v="2025-02-24T00:00:00"/>
    <s v="C19071"/>
    <x v="2"/>
    <n v="3"/>
    <n v="450.98"/>
    <s v="396 Main St"/>
    <s v="Credit Card"/>
    <x v="0"/>
    <s v="TRK66537096"/>
    <n v="8"/>
    <s v="SAVE10"/>
    <s v="Referral"/>
    <n v="1352.94"/>
  </r>
  <r>
    <s v="ORD201023"/>
    <d v="2024-09-23T00:00:00"/>
    <s v="C65251"/>
    <x v="5"/>
    <n v="5"/>
    <n v="233.67"/>
    <s v="291 Main St"/>
    <s v="Cash"/>
    <x v="0"/>
    <s v="TRK32059025"/>
    <n v="10"/>
    <s v="No COUPON"/>
    <s v="Referral"/>
    <n v="1168.3499999999999"/>
  </r>
  <r>
    <s v="ORD201024"/>
    <d v="2024-01-29T00:00:00"/>
    <s v="C90612"/>
    <x v="3"/>
    <n v="3"/>
    <n v="367.75"/>
    <s v="731 Main St"/>
    <s v="Cash"/>
    <x v="4"/>
    <s v="TRK93022878"/>
    <n v="7"/>
    <s v="FREESHIP"/>
    <s v="Facebook"/>
    <n v="1103.25"/>
  </r>
  <r>
    <s v="ORD201025"/>
    <d v="2025-05-17T00:00:00"/>
    <s v="C28406"/>
    <x v="3"/>
    <n v="1"/>
    <n v="23.53"/>
    <s v="174 Main St"/>
    <s v="Gift Card"/>
    <x v="3"/>
    <s v="TRK98841457"/>
    <n v="2"/>
    <s v="FREESHIP"/>
    <s v="Instagram"/>
    <n v="23.53"/>
  </r>
  <r>
    <s v="ORD201026"/>
    <d v="2023-05-01T00:00:00"/>
    <s v="C55454"/>
    <x v="0"/>
    <n v="1"/>
    <n v="677.48"/>
    <s v="807 Main St"/>
    <s v="Online"/>
    <x v="3"/>
    <s v="TRK13281370"/>
    <n v="1"/>
    <s v="WINTER15"/>
    <s v="Facebook"/>
    <n v="677.48"/>
  </r>
  <r>
    <s v="ORD201027"/>
    <d v="2024-05-21T00:00:00"/>
    <s v="C93467"/>
    <x v="5"/>
    <n v="4"/>
    <n v="554.83000000000004"/>
    <s v="983 Main St"/>
    <s v="Cash"/>
    <x v="2"/>
    <s v="TRK77377373"/>
    <n v="6"/>
    <s v="No COUPON"/>
    <s v="Google"/>
    <n v="2219.3200000000002"/>
  </r>
  <r>
    <s v="ORD201028"/>
    <d v="2023-02-17T00:00:00"/>
    <s v="C60042"/>
    <x v="6"/>
    <n v="4"/>
    <n v="440.31"/>
    <s v="610 Main St"/>
    <s v="Cash"/>
    <x v="1"/>
    <s v="TRK84651559"/>
    <n v="6"/>
    <s v="No COUPON"/>
    <s v="Instagram"/>
    <n v="1761.24"/>
  </r>
  <r>
    <s v="ORD201029"/>
    <d v="2025-03-01T00:00:00"/>
    <s v="C44733"/>
    <x v="6"/>
    <n v="1"/>
    <n v="87.06"/>
    <s v="851 Main St"/>
    <s v="Credit Card"/>
    <x v="0"/>
    <s v="TRK41500198"/>
    <n v="4"/>
    <s v="FREESHIP"/>
    <s v="Email"/>
    <n v="87.06"/>
  </r>
  <r>
    <s v="ORD201030"/>
    <d v="2023-10-02T00:00:00"/>
    <s v="C61773"/>
    <x v="1"/>
    <n v="4"/>
    <n v="245.28"/>
    <s v="176 Main St"/>
    <s v="Credit Card"/>
    <x v="3"/>
    <s v="TRK12936357"/>
    <n v="6"/>
    <s v="WINTER15"/>
    <s v="Email"/>
    <n v="981.12"/>
  </r>
  <r>
    <s v="ORD201031"/>
    <d v="2023-02-28T00:00:00"/>
    <s v="C59183"/>
    <x v="1"/>
    <n v="5"/>
    <n v="664.51"/>
    <s v="136 Main St"/>
    <s v="Debit Card"/>
    <x v="4"/>
    <s v="TRK18129706"/>
    <n v="8"/>
    <s v="SAVE10"/>
    <s v="Email"/>
    <n v="3322.55"/>
  </r>
  <r>
    <s v="ORD201032"/>
    <d v="2023-04-20T00:00:00"/>
    <s v="C26188"/>
    <x v="3"/>
    <n v="1"/>
    <n v="618.67999999999995"/>
    <s v="990 Main St"/>
    <s v="Online"/>
    <x v="3"/>
    <s v="TRK61634201"/>
    <n v="6"/>
    <s v="WINTER15"/>
    <s v="Referral"/>
    <n v="618.67999999999995"/>
  </r>
  <r>
    <s v="ORD201033"/>
    <d v="2024-12-24T00:00:00"/>
    <s v="C20338"/>
    <x v="0"/>
    <n v="1"/>
    <n v="370.85"/>
    <s v="331 Main St"/>
    <s v="Gift Card"/>
    <x v="3"/>
    <s v="TRK30654048"/>
    <n v="2"/>
    <s v="FREESHIP"/>
    <s v="Referral"/>
    <n v="370.85"/>
  </r>
  <r>
    <s v="ORD201034"/>
    <d v="2024-06-16T00:00:00"/>
    <s v="C84524"/>
    <x v="4"/>
    <n v="4"/>
    <n v="517.98"/>
    <s v="766 Main St"/>
    <s v="Cash"/>
    <x v="1"/>
    <s v="TRK76751888"/>
    <n v="8"/>
    <s v="FREESHIP"/>
    <s v="Facebook"/>
    <n v="2071.92"/>
  </r>
  <r>
    <s v="ORD201035"/>
    <d v="2023-11-12T00:00:00"/>
    <s v="C70315"/>
    <x v="5"/>
    <n v="4"/>
    <n v="506.11"/>
    <s v="911 Main St"/>
    <s v="Cash"/>
    <x v="1"/>
    <s v="TRK97732085"/>
    <n v="5"/>
    <s v="No COUPON"/>
    <s v="Referral"/>
    <n v="2024.44"/>
  </r>
  <r>
    <s v="ORD201036"/>
    <d v="2024-05-31T00:00:00"/>
    <s v="C98278"/>
    <x v="1"/>
    <n v="3"/>
    <n v="413.83"/>
    <s v="552 Main St"/>
    <s v="Gift Card"/>
    <x v="0"/>
    <s v="TRK49684737"/>
    <n v="8"/>
    <s v="SAVE10"/>
    <s v="Facebook"/>
    <n v="1241.49"/>
  </r>
  <r>
    <s v="ORD201037"/>
    <d v="2023-12-13T00:00:00"/>
    <s v="C32347"/>
    <x v="4"/>
    <n v="1"/>
    <n v="249.81"/>
    <s v="408 Main St"/>
    <s v="Cash"/>
    <x v="4"/>
    <s v="TRK54073964"/>
    <n v="1"/>
    <s v="SAVE10"/>
    <s v="Google"/>
    <n v="249.81"/>
  </r>
  <r>
    <s v="ORD201038"/>
    <d v="2025-03-15T00:00:00"/>
    <s v="C77961"/>
    <x v="2"/>
    <n v="3"/>
    <n v="362.53"/>
    <s v="422 Main St"/>
    <s v="Debit Card"/>
    <x v="2"/>
    <s v="TRK28969024"/>
    <n v="5"/>
    <s v="No COUPON"/>
    <s v="Facebook"/>
    <n v="1087.5899999999999"/>
  </r>
  <r>
    <s v="ORD201039"/>
    <d v="2025-06-28T00:00:00"/>
    <s v="C49137"/>
    <x v="6"/>
    <n v="2"/>
    <n v="299.23"/>
    <s v="177 Main St"/>
    <s v="Credit Card"/>
    <x v="1"/>
    <s v="TRK79362428"/>
    <n v="2"/>
    <s v="WINTER15"/>
    <s v="Instagram"/>
    <n v="598.46"/>
  </r>
  <r>
    <s v="ORD201040"/>
    <d v="2023-11-15T00:00:00"/>
    <s v="C13169"/>
    <x v="2"/>
    <n v="1"/>
    <n v="536.07000000000005"/>
    <s v="932 Main St"/>
    <s v="Debit Card"/>
    <x v="3"/>
    <s v="TRK66288666"/>
    <n v="5"/>
    <s v="FREESHIP"/>
    <s v="Google"/>
    <n v="536.07000000000005"/>
  </r>
  <r>
    <s v="ORD201041"/>
    <d v="2023-02-11T00:00:00"/>
    <s v="C21167"/>
    <x v="0"/>
    <n v="4"/>
    <n v="558.9"/>
    <s v="948 Main St"/>
    <s v="Gift Card"/>
    <x v="0"/>
    <s v="TRK97737564"/>
    <n v="9"/>
    <s v="WINTER15"/>
    <s v="Google"/>
    <n v="2235.6"/>
  </r>
  <r>
    <s v="ORD201042"/>
    <d v="2024-12-09T00:00:00"/>
    <s v="C59724"/>
    <x v="2"/>
    <n v="2"/>
    <n v="409.75"/>
    <s v="414 Main St"/>
    <s v="Debit Card"/>
    <x v="0"/>
    <s v="TRK67878272"/>
    <n v="2"/>
    <s v="WINTER15"/>
    <s v="Facebook"/>
    <n v="819.5"/>
  </r>
  <r>
    <s v="ORD201043"/>
    <d v="2025-01-11T00:00:00"/>
    <s v="C43965"/>
    <x v="2"/>
    <n v="2"/>
    <n v="179.96"/>
    <s v="675 Main St"/>
    <s v="Gift Card"/>
    <x v="0"/>
    <s v="TRK94346739"/>
    <n v="5"/>
    <s v="No COUPON"/>
    <s v="Instagram"/>
    <n v="359.92"/>
  </r>
  <r>
    <s v="ORD201044"/>
    <d v="2025-06-22T00:00:00"/>
    <s v="C63018"/>
    <x v="4"/>
    <n v="1"/>
    <n v="38.49"/>
    <s v="215 Main St"/>
    <s v="Credit Card"/>
    <x v="3"/>
    <s v="TRK52335337"/>
    <n v="4"/>
    <s v="FREESHIP"/>
    <s v="Referral"/>
    <n v="38.49"/>
  </r>
  <r>
    <s v="ORD201045"/>
    <d v="2024-09-20T00:00:00"/>
    <s v="C11893"/>
    <x v="5"/>
    <n v="5"/>
    <n v="316.39999999999998"/>
    <s v="671 Main St"/>
    <s v="Gift Card"/>
    <x v="2"/>
    <s v="TRK72012758"/>
    <n v="7"/>
    <s v="No COUPON"/>
    <s v="Email"/>
    <n v="1582"/>
  </r>
  <r>
    <s v="ORD201046"/>
    <d v="2024-10-07T00:00:00"/>
    <s v="C85421"/>
    <x v="2"/>
    <n v="3"/>
    <n v="547.15"/>
    <s v="466 Main St"/>
    <s v="Online"/>
    <x v="0"/>
    <s v="TRK16524006"/>
    <n v="4"/>
    <s v="WINTER15"/>
    <s v="Instagram"/>
    <n v="1641.45"/>
  </r>
  <r>
    <s v="ORD201047"/>
    <d v="2023-06-23T00:00:00"/>
    <s v="C81726"/>
    <x v="3"/>
    <n v="4"/>
    <n v="540.34"/>
    <s v="394 Main St"/>
    <s v="Gift Card"/>
    <x v="0"/>
    <s v="TRK69872994"/>
    <n v="6"/>
    <s v="WINTER15"/>
    <s v="Referral"/>
    <n v="2161.36"/>
  </r>
  <r>
    <s v="ORD201048"/>
    <d v="2024-09-09T00:00:00"/>
    <s v="C57601"/>
    <x v="0"/>
    <n v="4"/>
    <n v="73.650000000000006"/>
    <s v="889 Main St"/>
    <s v="Debit Card"/>
    <x v="0"/>
    <s v="TRK21153699"/>
    <n v="9"/>
    <s v="No COUPON"/>
    <s v="Google"/>
    <n v="294.60000000000002"/>
  </r>
  <r>
    <s v="ORD201049"/>
    <d v="2024-07-18T00:00:00"/>
    <s v="C60575"/>
    <x v="6"/>
    <n v="5"/>
    <n v="391.86"/>
    <s v="587 Main St"/>
    <s v="Credit Card"/>
    <x v="0"/>
    <s v="TRK44468232"/>
    <n v="6"/>
    <s v="No COUPON"/>
    <s v="Instagram"/>
    <n v="1959.3"/>
  </r>
  <r>
    <s v="ORD201050"/>
    <d v="2023-08-20T00:00:00"/>
    <s v="C70659"/>
    <x v="5"/>
    <n v="5"/>
    <n v="69.7"/>
    <s v="722 Main St"/>
    <s v="Online"/>
    <x v="2"/>
    <s v="TRK49663597"/>
    <n v="9"/>
    <s v="No COUPON"/>
    <s v="Instagram"/>
    <n v="348.5"/>
  </r>
  <r>
    <s v="ORD201051"/>
    <d v="2025-03-05T00:00:00"/>
    <s v="C35043"/>
    <x v="0"/>
    <n v="5"/>
    <n v="26.43"/>
    <s v="820 Main St"/>
    <s v="Gift Card"/>
    <x v="0"/>
    <s v="TRK65097450"/>
    <n v="5"/>
    <s v="FREESHIP"/>
    <s v="Facebook"/>
    <n v="132.15"/>
  </r>
  <r>
    <s v="ORD201052"/>
    <d v="2023-09-11T00:00:00"/>
    <s v="C12301"/>
    <x v="2"/>
    <n v="1"/>
    <n v="531.74"/>
    <s v="493 Main St"/>
    <s v="Online"/>
    <x v="0"/>
    <s v="TRK25145796"/>
    <n v="1"/>
    <s v="WINTER15"/>
    <s v="Google"/>
    <n v="531.74"/>
  </r>
  <r>
    <s v="ORD201053"/>
    <d v="2024-09-15T00:00:00"/>
    <s v="C32798"/>
    <x v="1"/>
    <n v="2"/>
    <n v="496.62"/>
    <s v="679 Main St"/>
    <s v="Online"/>
    <x v="4"/>
    <s v="TRK37375451"/>
    <n v="2"/>
    <s v="SAVE10"/>
    <s v="Instagram"/>
    <n v="993.24"/>
  </r>
  <r>
    <s v="ORD201054"/>
    <d v="2023-11-29T00:00:00"/>
    <s v="C42949"/>
    <x v="4"/>
    <n v="1"/>
    <n v="660.66"/>
    <s v="447 Main St"/>
    <s v="Debit Card"/>
    <x v="3"/>
    <s v="TRK46415143"/>
    <n v="3"/>
    <s v="WINTER15"/>
    <s v="Instagram"/>
    <n v="660.66"/>
  </r>
  <r>
    <s v="ORD201055"/>
    <d v="2023-10-23T00:00:00"/>
    <s v="C10787"/>
    <x v="0"/>
    <n v="4"/>
    <n v="274.82"/>
    <s v="932 Main St"/>
    <s v="Debit Card"/>
    <x v="3"/>
    <s v="TRK91512567"/>
    <n v="9"/>
    <s v="WINTER15"/>
    <s v="Email"/>
    <n v="1099.28"/>
  </r>
  <r>
    <s v="ORD201056"/>
    <d v="2024-06-14T00:00:00"/>
    <s v="C26152"/>
    <x v="1"/>
    <n v="2"/>
    <n v="486.35"/>
    <s v="790 Main St"/>
    <s v="Online"/>
    <x v="4"/>
    <s v="TRK49382455"/>
    <n v="6"/>
    <s v="SAVE10"/>
    <s v="Referral"/>
    <n v="972.7"/>
  </r>
  <r>
    <s v="ORD201057"/>
    <d v="2024-09-24T00:00:00"/>
    <s v="C46210"/>
    <x v="5"/>
    <n v="3"/>
    <n v="428.88"/>
    <s v="535 Main St"/>
    <s v="Debit Card"/>
    <x v="0"/>
    <s v="TRK81611937"/>
    <n v="3"/>
    <s v="WINTER15"/>
    <s v="Facebook"/>
    <n v="1286.6400000000001"/>
  </r>
  <r>
    <s v="ORD201058"/>
    <d v="2023-09-08T00:00:00"/>
    <s v="C32943"/>
    <x v="6"/>
    <n v="2"/>
    <n v="412.14"/>
    <s v="127 Main St"/>
    <s v="Credit Card"/>
    <x v="2"/>
    <s v="TRK26949106"/>
    <n v="2"/>
    <s v="FREESHIP"/>
    <s v="Instagram"/>
    <n v="824.28"/>
  </r>
  <r>
    <s v="ORD201059"/>
    <d v="2024-09-22T00:00:00"/>
    <s v="C73629"/>
    <x v="6"/>
    <n v="1"/>
    <n v="265.64"/>
    <s v="601 Main St"/>
    <s v="Credit Card"/>
    <x v="2"/>
    <s v="TRK11492924"/>
    <n v="3"/>
    <s v="WINTER15"/>
    <s v="Instagram"/>
    <n v="265.64"/>
  </r>
  <r>
    <s v="ORD201060"/>
    <d v="2024-05-07T00:00:00"/>
    <s v="C38024"/>
    <x v="2"/>
    <n v="2"/>
    <n v="273.43"/>
    <s v="824 Main St"/>
    <s v="Cash"/>
    <x v="0"/>
    <s v="TRK93370912"/>
    <n v="7"/>
    <s v="WINTER15"/>
    <s v="Referral"/>
    <n v="546.86"/>
  </r>
  <r>
    <s v="ORD201061"/>
    <d v="2025-01-29T00:00:00"/>
    <s v="C25445"/>
    <x v="5"/>
    <n v="5"/>
    <n v="131.69999999999999"/>
    <s v="830 Main St"/>
    <s v="Cash"/>
    <x v="0"/>
    <s v="TRK12402431"/>
    <n v="8"/>
    <s v="FREESHIP"/>
    <s v="Google"/>
    <n v="658.5"/>
  </r>
  <r>
    <s v="ORD201062"/>
    <d v="2023-08-23T00:00:00"/>
    <s v="C13501"/>
    <x v="3"/>
    <n v="5"/>
    <n v="85.52"/>
    <s v="301 Main St"/>
    <s v="Gift Card"/>
    <x v="1"/>
    <s v="TRK65149372"/>
    <n v="5"/>
    <s v="No COUPON"/>
    <s v="Facebook"/>
    <n v="427.6"/>
  </r>
  <r>
    <s v="ORD201063"/>
    <d v="2024-06-19T00:00:00"/>
    <s v="C42108"/>
    <x v="6"/>
    <n v="2"/>
    <n v="320.68"/>
    <s v="336 Main St"/>
    <s v="Credit Card"/>
    <x v="0"/>
    <s v="TRK58407918"/>
    <n v="5"/>
    <s v="FREESHIP"/>
    <s v="Referral"/>
    <n v="641.36"/>
  </r>
  <r>
    <s v="ORD201064"/>
    <d v="2025-02-12T00:00:00"/>
    <s v="C32121"/>
    <x v="5"/>
    <n v="4"/>
    <n v="198.81"/>
    <s v="654 Main St"/>
    <s v="Cash"/>
    <x v="2"/>
    <s v="TRK96074264"/>
    <n v="9"/>
    <s v="FREESHIP"/>
    <s v="Referral"/>
    <n v="795.24"/>
  </r>
  <r>
    <s v="ORD201065"/>
    <d v="2023-10-30T00:00:00"/>
    <s v="C47778"/>
    <x v="4"/>
    <n v="5"/>
    <n v="666.8"/>
    <s v="488 Main St"/>
    <s v="Debit Card"/>
    <x v="3"/>
    <s v="TRK79504329"/>
    <n v="7"/>
    <s v="SAVE10"/>
    <s v="Referral"/>
    <n v="3334"/>
  </r>
  <r>
    <s v="ORD201066"/>
    <d v="2023-12-20T00:00:00"/>
    <s v="C10791"/>
    <x v="6"/>
    <n v="1"/>
    <n v="355.09"/>
    <s v="674 Main St"/>
    <s v="Debit Card"/>
    <x v="1"/>
    <s v="TRK20321248"/>
    <n v="5"/>
    <s v="SAVE10"/>
    <s v="Instagram"/>
    <n v="355.09"/>
  </r>
  <r>
    <s v="ORD201067"/>
    <d v="2023-06-06T00:00:00"/>
    <s v="C78959"/>
    <x v="1"/>
    <n v="2"/>
    <n v="316.2"/>
    <s v="384 Main St"/>
    <s v="Online"/>
    <x v="2"/>
    <s v="TRK37426359"/>
    <n v="2"/>
    <s v="No COUPON"/>
    <s v="Instagram"/>
    <n v="632.4"/>
  </r>
  <r>
    <s v="ORD201068"/>
    <d v="2024-08-03T00:00:00"/>
    <s v="C29914"/>
    <x v="5"/>
    <n v="1"/>
    <n v="133.38999999999999"/>
    <s v="469 Main St"/>
    <s v="Debit Card"/>
    <x v="0"/>
    <s v="TRK22073506"/>
    <n v="2"/>
    <s v="SAVE10"/>
    <s v="Referral"/>
    <n v="133.38999999999999"/>
  </r>
  <r>
    <s v="ORD201069"/>
    <d v="2023-02-25T00:00:00"/>
    <s v="C70506"/>
    <x v="0"/>
    <n v="1"/>
    <n v="454.23"/>
    <s v="255 Main St"/>
    <s v="Gift Card"/>
    <x v="2"/>
    <s v="TRK12518384"/>
    <n v="3"/>
    <s v="No COUPON"/>
    <s v="Facebook"/>
    <n v="454.23"/>
  </r>
  <r>
    <s v="ORD201070"/>
    <d v="2024-09-06T00:00:00"/>
    <s v="C46873"/>
    <x v="6"/>
    <n v="4"/>
    <n v="491.29"/>
    <s v="496 Main St"/>
    <s v="Debit Card"/>
    <x v="4"/>
    <s v="TRK10926575"/>
    <n v="6"/>
    <s v="No COUPON"/>
    <s v="Email"/>
    <n v="1965.16"/>
  </r>
  <r>
    <s v="ORD201071"/>
    <d v="2025-06-24T00:00:00"/>
    <s v="C94037"/>
    <x v="1"/>
    <n v="2"/>
    <n v="255.14"/>
    <s v="216 Main St"/>
    <s v="Cash"/>
    <x v="0"/>
    <s v="TRK47536985"/>
    <n v="2"/>
    <s v="No COUPON"/>
    <s v="Google"/>
    <n v="510.28"/>
  </r>
  <r>
    <s v="ORD201072"/>
    <d v="2023-02-26T00:00:00"/>
    <s v="C88644"/>
    <x v="0"/>
    <n v="1"/>
    <n v="392.61"/>
    <s v="977 Main St"/>
    <s v="Gift Card"/>
    <x v="1"/>
    <s v="TRK14900878"/>
    <n v="4"/>
    <s v="SAVE10"/>
    <s v="Referral"/>
    <n v="392.61"/>
  </r>
  <r>
    <s v="ORD201073"/>
    <d v="2024-10-11T00:00:00"/>
    <s v="C69471"/>
    <x v="2"/>
    <n v="4"/>
    <n v="362.06"/>
    <s v="294 Main St"/>
    <s v="Debit Card"/>
    <x v="2"/>
    <s v="TRK11107152"/>
    <n v="4"/>
    <s v="No COUPON"/>
    <s v="Facebook"/>
    <n v="1448.24"/>
  </r>
  <r>
    <s v="ORD201074"/>
    <d v="2024-05-10T00:00:00"/>
    <s v="C21437"/>
    <x v="1"/>
    <n v="1"/>
    <n v="222.73"/>
    <s v="120 Main St"/>
    <s v="Online"/>
    <x v="2"/>
    <s v="TRK81624772"/>
    <n v="4"/>
    <s v="No COUPON"/>
    <s v="Google"/>
    <n v="222.73"/>
  </r>
  <r>
    <s v="ORD201075"/>
    <d v="2024-08-31T00:00:00"/>
    <s v="C40949"/>
    <x v="0"/>
    <n v="2"/>
    <n v="552.63"/>
    <s v="609 Main St"/>
    <s v="Debit Card"/>
    <x v="3"/>
    <s v="TRK43066749"/>
    <n v="7"/>
    <s v="WINTER15"/>
    <s v="Instagram"/>
    <n v="1105.26"/>
  </r>
  <r>
    <s v="ORD201076"/>
    <d v="2023-05-08T00:00:00"/>
    <s v="C99116"/>
    <x v="5"/>
    <n v="4"/>
    <n v="686.61"/>
    <s v="176 Main St"/>
    <s v="Cash"/>
    <x v="0"/>
    <s v="TRK52711973"/>
    <n v="6"/>
    <s v="No COUPON"/>
    <s v="Referral"/>
    <n v="2746.44"/>
  </r>
  <r>
    <s v="ORD201077"/>
    <d v="2025-03-07T00:00:00"/>
    <s v="C57861"/>
    <x v="4"/>
    <n v="3"/>
    <n v="305.16000000000003"/>
    <s v="115 Main St"/>
    <s v="Credit Card"/>
    <x v="1"/>
    <s v="TRK47775217"/>
    <n v="8"/>
    <s v="SAVE10"/>
    <s v="Referral"/>
    <n v="915.48"/>
  </r>
  <r>
    <s v="ORD201078"/>
    <d v="2023-03-18T00:00:00"/>
    <s v="C62627"/>
    <x v="6"/>
    <n v="1"/>
    <n v="41.09"/>
    <s v="881 Main St"/>
    <s v="Online"/>
    <x v="2"/>
    <s v="TRK90060232"/>
    <n v="4"/>
    <s v="WINTER15"/>
    <s v="Email"/>
    <n v="41.09"/>
  </r>
  <r>
    <s v="ORD201079"/>
    <d v="2024-06-20T00:00:00"/>
    <s v="C89979"/>
    <x v="1"/>
    <n v="5"/>
    <n v="634"/>
    <s v="144 Main St"/>
    <s v="Gift Card"/>
    <x v="3"/>
    <s v="TRK99055909"/>
    <n v="8"/>
    <s v="No COUPON"/>
    <s v="Email"/>
    <n v="3170"/>
  </r>
  <r>
    <s v="ORD201080"/>
    <d v="2023-01-20T00:00:00"/>
    <s v="C70613"/>
    <x v="5"/>
    <n v="5"/>
    <n v="464.74"/>
    <s v="438 Main St"/>
    <s v="Gift Card"/>
    <x v="3"/>
    <s v="TRK33140293"/>
    <n v="7"/>
    <s v="No COUPON"/>
    <s v="Referral"/>
    <n v="2323.6999999999998"/>
  </r>
  <r>
    <s v="ORD201081"/>
    <d v="2023-04-21T00:00:00"/>
    <s v="C55636"/>
    <x v="0"/>
    <n v="4"/>
    <n v="425.6"/>
    <s v="494 Main St"/>
    <s v="Credit Card"/>
    <x v="4"/>
    <s v="TRK85897054"/>
    <n v="5"/>
    <s v="FREESHIP"/>
    <s v="Google"/>
    <n v="1702.4"/>
  </r>
  <r>
    <s v="ORD201082"/>
    <d v="2023-10-06T00:00:00"/>
    <s v="C96595"/>
    <x v="3"/>
    <n v="3"/>
    <n v="573.22"/>
    <s v="177 Main St"/>
    <s v="Debit Card"/>
    <x v="4"/>
    <s v="TRK59779174"/>
    <n v="5"/>
    <s v="SAVE10"/>
    <s v="Email"/>
    <n v="1719.66"/>
  </r>
  <r>
    <s v="ORD201083"/>
    <d v="2024-07-09T00:00:00"/>
    <s v="C68508"/>
    <x v="3"/>
    <n v="1"/>
    <n v="123.28"/>
    <s v="895 Main St"/>
    <s v="Credit Card"/>
    <x v="3"/>
    <s v="TRK98960285"/>
    <n v="3"/>
    <s v="SAVE10"/>
    <s v="Email"/>
    <n v="123.28"/>
  </r>
  <r>
    <s v="ORD201084"/>
    <d v="2023-01-08T00:00:00"/>
    <s v="C45175"/>
    <x v="1"/>
    <n v="1"/>
    <n v="70.819999999999993"/>
    <s v="128 Main St"/>
    <s v="Gift Card"/>
    <x v="4"/>
    <s v="TRK41792296"/>
    <n v="1"/>
    <s v="WINTER15"/>
    <s v="Instagram"/>
    <n v="70.819999999999993"/>
  </r>
  <r>
    <s v="ORD201085"/>
    <d v="2023-05-21T00:00:00"/>
    <s v="C28049"/>
    <x v="4"/>
    <n v="2"/>
    <n v="646.69000000000005"/>
    <s v="404 Main St"/>
    <s v="Debit Card"/>
    <x v="0"/>
    <s v="TRK91426444"/>
    <n v="7"/>
    <s v="WINTER15"/>
    <s v="Instagram"/>
    <n v="1293.3800000000001"/>
  </r>
  <r>
    <s v="ORD201086"/>
    <d v="2023-12-23T00:00:00"/>
    <s v="C46967"/>
    <x v="2"/>
    <n v="2"/>
    <n v="513.41999999999996"/>
    <s v="401 Main St"/>
    <s v="Online"/>
    <x v="4"/>
    <s v="TRK91439791"/>
    <n v="5"/>
    <s v="WINTER15"/>
    <s v="Instagram"/>
    <n v="1026.8399999999999"/>
  </r>
  <r>
    <s v="ORD201087"/>
    <d v="2025-03-23T00:00:00"/>
    <s v="C84134"/>
    <x v="5"/>
    <n v="4"/>
    <n v="693.07"/>
    <s v="530 Main St"/>
    <s v="Online"/>
    <x v="0"/>
    <s v="TRK48659380"/>
    <n v="8"/>
    <s v="SAVE10"/>
    <s v="Instagram"/>
    <n v="2772.28"/>
  </r>
  <r>
    <s v="ORD201088"/>
    <d v="2023-11-30T00:00:00"/>
    <s v="C49831"/>
    <x v="6"/>
    <n v="3"/>
    <n v="491.43"/>
    <s v="213 Main St"/>
    <s v="Gift Card"/>
    <x v="0"/>
    <s v="TRK21232601"/>
    <n v="6"/>
    <s v="WINTER15"/>
    <s v="Instagram"/>
    <n v="1474.29"/>
  </r>
  <r>
    <s v="ORD201089"/>
    <d v="2025-03-15T00:00:00"/>
    <s v="C13324"/>
    <x v="2"/>
    <n v="2"/>
    <n v="599.74"/>
    <s v="440 Main St"/>
    <s v="Gift Card"/>
    <x v="0"/>
    <s v="TRK66967997"/>
    <n v="2"/>
    <s v="No COUPON"/>
    <s v="Instagram"/>
    <n v="1199.48"/>
  </r>
  <r>
    <s v="ORD201090"/>
    <d v="2023-02-25T00:00:00"/>
    <s v="C61225"/>
    <x v="0"/>
    <n v="2"/>
    <n v="650.25"/>
    <s v="996 Main St"/>
    <s v="Gift Card"/>
    <x v="2"/>
    <s v="TRK37022954"/>
    <n v="6"/>
    <s v="No COUPON"/>
    <s v="Instagram"/>
    <n v="1300.5"/>
  </r>
  <r>
    <s v="ORD201091"/>
    <d v="2024-10-08T00:00:00"/>
    <s v="C16400"/>
    <x v="5"/>
    <n v="3"/>
    <n v="209.48"/>
    <s v="123 Main St"/>
    <s v="Debit Card"/>
    <x v="4"/>
    <s v="TRK57771859"/>
    <n v="4"/>
    <s v="No COUPON"/>
    <s v="Email"/>
    <n v="628.43999999999994"/>
  </r>
  <r>
    <s v="ORD201092"/>
    <d v="2023-08-21T00:00:00"/>
    <s v="C38642"/>
    <x v="5"/>
    <n v="5"/>
    <n v="209.2"/>
    <s v="930 Main St"/>
    <s v="Debit Card"/>
    <x v="3"/>
    <s v="TRK47744396"/>
    <n v="6"/>
    <s v="WINTER15"/>
    <s v="Email"/>
    <n v="1046"/>
  </r>
  <r>
    <s v="ORD201093"/>
    <d v="2023-06-09T00:00:00"/>
    <s v="C86773"/>
    <x v="1"/>
    <n v="4"/>
    <n v="197.36"/>
    <s v="557 Main St"/>
    <s v="Gift Card"/>
    <x v="2"/>
    <s v="TRK22612240"/>
    <n v="9"/>
    <s v="FREESHIP"/>
    <s v="Instagram"/>
    <n v="789.44"/>
  </r>
  <r>
    <s v="ORD201094"/>
    <d v="2023-06-28T00:00:00"/>
    <s v="C66093"/>
    <x v="4"/>
    <n v="4"/>
    <n v="648.91"/>
    <s v="615 Main St"/>
    <s v="Credit Card"/>
    <x v="0"/>
    <s v="TRK54950785"/>
    <n v="6"/>
    <s v="SAVE10"/>
    <s v="Instagram"/>
    <n v="2595.64"/>
  </r>
  <r>
    <s v="ORD201095"/>
    <d v="2024-04-23T00:00:00"/>
    <s v="C33051"/>
    <x v="1"/>
    <n v="2"/>
    <n v="441.54"/>
    <s v="397 Main St"/>
    <s v="Online"/>
    <x v="3"/>
    <s v="TRK92929755"/>
    <n v="2"/>
    <s v="SAVE10"/>
    <s v="Email"/>
    <n v="883.08"/>
  </r>
  <r>
    <s v="ORD201096"/>
    <d v="2025-05-03T00:00:00"/>
    <s v="C18169"/>
    <x v="2"/>
    <n v="2"/>
    <n v="464.92"/>
    <s v="782 Main St"/>
    <s v="Debit Card"/>
    <x v="2"/>
    <s v="TRK49482923"/>
    <n v="2"/>
    <s v="No COUPON"/>
    <s v="Facebook"/>
    <n v="929.84"/>
  </r>
  <r>
    <s v="ORD201097"/>
    <d v="2024-12-26T00:00:00"/>
    <s v="C81370"/>
    <x v="0"/>
    <n v="5"/>
    <n v="506.45"/>
    <s v="344 Main St"/>
    <s v="Gift Card"/>
    <x v="0"/>
    <s v="TRK99682998"/>
    <n v="7"/>
    <s v="WINTER15"/>
    <s v="Google"/>
    <n v="2532.25"/>
  </r>
  <r>
    <s v="ORD201098"/>
    <d v="2023-06-17T00:00:00"/>
    <s v="C91103"/>
    <x v="0"/>
    <n v="4"/>
    <n v="255.86"/>
    <s v="155 Main St"/>
    <s v="Credit Card"/>
    <x v="3"/>
    <s v="TRK91653000"/>
    <n v="7"/>
    <s v="No COUPON"/>
    <s v="Email"/>
    <n v="1023.44"/>
  </r>
  <r>
    <s v="ORD201099"/>
    <d v="2024-09-19T00:00:00"/>
    <s v="C21953"/>
    <x v="5"/>
    <n v="2"/>
    <n v="125.23"/>
    <s v="272 Main St"/>
    <s v="Cash"/>
    <x v="1"/>
    <s v="TRK60774796"/>
    <n v="3"/>
    <s v="FREESHIP"/>
    <s v="Email"/>
    <n v="250.46"/>
  </r>
  <r>
    <s v="ORD201100"/>
    <d v="2023-08-17T00:00:00"/>
    <s v="C15146"/>
    <x v="5"/>
    <n v="5"/>
    <n v="38.11"/>
    <s v="428 Main St"/>
    <s v="Debit Card"/>
    <x v="1"/>
    <s v="TRK79790530"/>
    <n v="6"/>
    <s v="WINTER15"/>
    <s v="Instagram"/>
    <n v="190.55"/>
  </r>
  <r>
    <s v="ORD201101"/>
    <d v="2025-06-08T00:00:00"/>
    <s v="C43546"/>
    <x v="0"/>
    <n v="3"/>
    <n v="161.97"/>
    <s v="904 Main St"/>
    <s v="Cash"/>
    <x v="4"/>
    <s v="TRK85871121"/>
    <n v="4"/>
    <s v="SAVE10"/>
    <s v="Email"/>
    <n v="485.91"/>
  </r>
  <r>
    <s v="ORD201102"/>
    <d v="2024-06-03T00:00:00"/>
    <s v="C98474"/>
    <x v="3"/>
    <n v="4"/>
    <n v="347.17"/>
    <s v="997 Main St"/>
    <s v="Debit Card"/>
    <x v="0"/>
    <s v="TRK86192984"/>
    <n v="8"/>
    <s v="No COUPON"/>
    <s v="Instagram"/>
    <n v="1388.68"/>
  </r>
  <r>
    <s v="ORD201103"/>
    <d v="2023-04-24T00:00:00"/>
    <s v="C90292"/>
    <x v="5"/>
    <n v="4"/>
    <n v="276.32"/>
    <s v="129 Main St"/>
    <s v="Online"/>
    <x v="3"/>
    <s v="TRK26270357"/>
    <n v="5"/>
    <s v="No COUPON"/>
    <s v="Google"/>
    <n v="1105.28"/>
  </r>
  <r>
    <s v="ORD201104"/>
    <d v="2024-07-25T00:00:00"/>
    <s v="C17075"/>
    <x v="2"/>
    <n v="4"/>
    <n v="314.76"/>
    <s v="850 Main St"/>
    <s v="Online"/>
    <x v="0"/>
    <s v="TRK63547510"/>
    <n v="8"/>
    <s v="No COUPON"/>
    <s v="Instagram"/>
    <n v="1259.04"/>
  </r>
  <r>
    <s v="ORD201105"/>
    <d v="2024-01-08T00:00:00"/>
    <s v="C12487"/>
    <x v="2"/>
    <n v="3"/>
    <n v="475.69"/>
    <s v="884 Main St"/>
    <s v="Gift Card"/>
    <x v="1"/>
    <s v="TRK23324770"/>
    <n v="3"/>
    <s v="FREESHIP"/>
    <s v="Google"/>
    <n v="1427.07"/>
  </r>
  <r>
    <s v="ORD201106"/>
    <d v="2023-03-12T00:00:00"/>
    <s v="C34555"/>
    <x v="3"/>
    <n v="1"/>
    <n v="372.8"/>
    <s v="903 Main St"/>
    <s v="Cash"/>
    <x v="1"/>
    <s v="TRK72859458"/>
    <n v="6"/>
    <s v="SAVE10"/>
    <s v="Facebook"/>
    <n v="372.8"/>
  </r>
  <r>
    <s v="ORD201107"/>
    <d v="2025-06-30T00:00:00"/>
    <s v="C25110"/>
    <x v="2"/>
    <n v="2"/>
    <n v="63.21"/>
    <s v="282 Main St"/>
    <s v="Online"/>
    <x v="1"/>
    <s v="TRK80963328"/>
    <n v="4"/>
    <s v="SAVE10"/>
    <s v="Google"/>
    <n v="126.42"/>
  </r>
  <r>
    <s v="ORD201108"/>
    <d v="2023-03-20T00:00:00"/>
    <s v="C35136"/>
    <x v="5"/>
    <n v="1"/>
    <n v="634.94000000000005"/>
    <s v="462 Main St"/>
    <s v="Online"/>
    <x v="1"/>
    <s v="TRK49753703"/>
    <n v="5"/>
    <s v="WINTER15"/>
    <s v="Instagram"/>
    <n v="634.94000000000005"/>
  </r>
  <r>
    <s v="ORD201109"/>
    <d v="2024-04-08T00:00:00"/>
    <s v="C62277"/>
    <x v="4"/>
    <n v="4"/>
    <n v="77.47"/>
    <s v="474 Main St"/>
    <s v="Gift Card"/>
    <x v="2"/>
    <s v="TRK32026174"/>
    <n v="7"/>
    <s v="SAVE10"/>
    <s v="Instagram"/>
    <n v="309.88"/>
  </r>
  <r>
    <s v="ORD201110"/>
    <d v="2024-02-25T00:00:00"/>
    <s v="C12472"/>
    <x v="3"/>
    <n v="3"/>
    <n v="84.31"/>
    <s v="912 Main St"/>
    <s v="Credit Card"/>
    <x v="0"/>
    <s v="TRK36103184"/>
    <n v="3"/>
    <s v="SAVE10"/>
    <s v="Email"/>
    <n v="252.93"/>
  </r>
  <r>
    <s v="ORD201111"/>
    <d v="2023-05-06T00:00:00"/>
    <s v="C24047"/>
    <x v="0"/>
    <n v="4"/>
    <n v="234.45"/>
    <s v="362 Main St"/>
    <s v="Online"/>
    <x v="1"/>
    <s v="TRK91338580"/>
    <n v="9"/>
    <s v="FREESHIP"/>
    <s v="Instagram"/>
    <n v="937.8"/>
  </r>
  <r>
    <s v="ORD201112"/>
    <d v="2023-10-13T00:00:00"/>
    <s v="C76929"/>
    <x v="6"/>
    <n v="1"/>
    <n v="356.81"/>
    <s v="563 Main St"/>
    <s v="Online"/>
    <x v="3"/>
    <s v="TRK80694400"/>
    <n v="1"/>
    <s v="WINTER15"/>
    <s v="Instagram"/>
    <n v="356.81"/>
  </r>
  <r>
    <s v="ORD201113"/>
    <d v="2023-03-19T00:00:00"/>
    <s v="C52914"/>
    <x v="6"/>
    <n v="4"/>
    <n v="209.99"/>
    <s v="168 Main St"/>
    <s v="Cash"/>
    <x v="3"/>
    <s v="TRK80819053"/>
    <n v="8"/>
    <s v="No COUPON"/>
    <s v="Google"/>
    <n v="839.96"/>
  </r>
  <r>
    <s v="ORD201114"/>
    <d v="2023-03-16T00:00:00"/>
    <s v="C55164"/>
    <x v="2"/>
    <n v="3"/>
    <n v="659.88"/>
    <s v="609 Main St"/>
    <s v="Gift Card"/>
    <x v="1"/>
    <s v="TRK79610967"/>
    <n v="3"/>
    <s v="No COUPON"/>
    <s v="Google"/>
    <n v="1979.64"/>
  </r>
  <r>
    <s v="ORD201115"/>
    <d v="2025-06-20T00:00:00"/>
    <s v="C70426"/>
    <x v="5"/>
    <n v="2"/>
    <n v="336.32"/>
    <s v="562 Main St"/>
    <s v="Online"/>
    <x v="2"/>
    <s v="TRK89687816"/>
    <n v="3"/>
    <s v="No COUPON"/>
    <s v="Google"/>
    <n v="672.64"/>
  </r>
  <r>
    <s v="ORD201116"/>
    <d v="2023-10-14T00:00:00"/>
    <s v="C69149"/>
    <x v="4"/>
    <n v="2"/>
    <n v="531.49"/>
    <s v="562 Main St"/>
    <s v="Credit Card"/>
    <x v="3"/>
    <s v="TRK61265132"/>
    <n v="7"/>
    <s v="WINTER15"/>
    <s v="Facebook"/>
    <n v="1062.98"/>
  </r>
  <r>
    <s v="ORD201117"/>
    <d v="2024-05-20T00:00:00"/>
    <s v="C78684"/>
    <x v="3"/>
    <n v="3"/>
    <n v="588.44000000000005"/>
    <s v="858 Main St"/>
    <s v="Gift Card"/>
    <x v="0"/>
    <s v="TRK95779073"/>
    <n v="8"/>
    <s v="WINTER15"/>
    <s v="Google"/>
    <n v="1765.32"/>
  </r>
  <r>
    <s v="ORD201118"/>
    <d v="2024-05-24T00:00:00"/>
    <s v="C58168"/>
    <x v="1"/>
    <n v="3"/>
    <n v="251.48"/>
    <s v="359 Main St"/>
    <s v="Credit Card"/>
    <x v="2"/>
    <s v="TRK99102265"/>
    <n v="4"/>
    <s v="No COUPON"/>
    <s v="Email"/>
    <n v="754.43999999999994"/>
  </r>
  <r>
    <s v="ORD201119"/>
    <d v="2024-11-24T00:00:00"/>
    <s v="C99024"/>
    <x v="5"/>
    <n v="1"/>
    <n v="684.65"/>
    <s v="250 Main St"/>
    <s v="Credit Card"/>
    <x v="3"/>
    <s v="TRK24675988"/>
    <n v="1"/>
    <s v="FREESHIP"/>
    <s v="Email"/>
    <n v="684.65"/>
  </r>
  <r>
    <s v="ORD201120"/>
    <d v="2025-05-10T00:00:00"/>
    <s v="C22919"/>
    <x v="2"/>
    <n v="1"/>
    <n v="195.86"/>
    <s v="267 Main St"/>
    <s v="Online"/>
    <x v="4"/>
    <s v="TRK82416295"/>
    <n v="3"/>
    <s v="No COUPON"/>
    <s v="Facebook"/>
    <n v="195.86"/>
  </r>
  <r>
    <s v="ORD201121"/>
    <d v="2023-05-28T00:00:00"/>
    <s v="C98354"/>
    <x v="1"/>
    <n v="3"/>
    <n v="50.34"/>
    <s v="393 Main St"/>
    <s v="Gift Card"/>
    <x v="2"/>
    <s v="TRK43070888"/>
    <n v="3"/>
    <s v="FREESHIP"/>
    <s v="Instagram"/>
    <n v="151.02000000000001"/>
  </r>
  <r>
    <s v="ORD201122"/>
    <d v="2023-06-07T00:00:00"/>
    <s v="C38840"/>
    <x v="0"/>
    <n v="5"/>
    <n v="678.19"/>
    <s v="766 Main St"/>
    <s v="Online"/>
    <x v="2"/>
    <s v="TRK32496970"/>
    <n v="8"/>
    <s v="No COUPON"/>
    <s v="Facebook"/>
    <n v="3390.95"/>
  </r>
  <r>
    <s v="ORD201123"/>
    <d v="2023-04-14T00:00:00"/>
    <s v="C68936"/>
    <x v="2"/>
    <n v="3"/>
    <n v="554.25"/>
    <s v="843 Main St"/>
    <s v="Debit Card"/>
    <x v="0"/>
    <s v="TRK73163634"/>
    <n v="6"/>
    <s v="WINTER15"/>
    <s v="Referral"/>
    <n v="1662.75"/>
  </r>
  <r>
    <s v="ORD201124"/>
    <d v="2023-05-09T00:00:00"/>
    <s v="C33744"/>
    <x v="3"/>
    <n v="4"/>
    <n v="576.87"/>
    <s v="888 Main St"/>
    <s v="Gift Card"/>
    <x v="2"/>
    <s v="TRK40245983"/>
    <n v="5"/>
    <s v="No COUPON"/>
    <s v="Instagram"/>
    <n v="2307.48"/>
  </r>
  <r>
    <s v="ORD201125"/>
    <d v="2023-10-16T00:00:00"/>
    <s v="C23555"/>
    <x v="6"/>
    <n v="4"/>
    <n v="408.36"/>
    <s v="156 Main St"/>
    <s v="Gift Card"/>
    <x v="1"/>
    <s v="TRK67210247"/>
    <n v="4"/>
    <s v="FREESHIP"/>
    <s v="Referral"/>
    <n v="1633.44"/>
  </r>
  <r>
    <s v="ORD201126"/>
    <d v="2024-07-22T00:00:00"/>
    <s v="C34337"/>
    <x v="1"/>
    <n v="5"/>
    <n v="190.11"/>
    <s v="325 Main St"/>
    <s v="Cash"/>
    <x v="3"/>
    <s v="TRK36195559"/>
    <n v="7"/>
    <s v="SAVE10"/>
    <s v="Google"/>
    <n v="950.55000000000007"/>
  </r>
  <r>
    <s v="ORD201127"/>
    <d v="2025-03-15T00:00:00"/>
    <s v="C69396"/>
    <x v="4"/>
    <n v="3"/>
    <n v="602.75"/>
    <s v="920 Main St"/>
    <s v="Credit Card"/>
    <x v="0"/>
    <s v="TRK33155049"/>
    <n v="6"/>
    <s v="SAVE10"/>
    <s v="Email"/>
    <n v="1808.25"/>
  </r>
  <r>
    <s v="ORD201128"/>
    <d v="2023-08-17T00:00:00"/>
    <s v="C49198"/>
    <x v="0"/>
    <n v="3"/>
    <n v="646.79"/>
    <s v="447 Main St"/>
    <s v="Cash"/>
    <x v="1"/>
    <s v="TRK10883354"/>
    <n v="5"/>
    <s v="WINTER15"/>
    <s v="Google"/>
    <n v="1940.37"/>
  </r>
  <r>
    <s v="ORD201129"/>
    <d v="2023-06-11T00:00:00"/>
    <s v="C43911"/>
    <x v="3"/>
    <n v="4"/>
    <n v="418.71"/>
    <s v="239 Main St"/>
    <s v="Cash"/>
    <x v="4"/>
    <s v="TRK37495481"/>
    <n v="8"/>
    <s v="FREESHIP"/>
    <s v="Instagram"/>
    <n v="1674.84"/>
  </r>
  <r>
    <s v="ORD201130"/>
    <d v="2025-02-16T00:00:00"/>
    <s v="C24347"/>
    <x v="5"/>
    <n v="2"/>
    <n v="323.45"/>
    <s v="533 Main St"/>
    <s v="Credit Card"/>
    <x v="2"/>
    <s v="TRK27233265"/>
    <n v="5"/>
    <s v="FREESHIP"/>
    <s v="Instagram"/>
    <n v="646.9"/>
  </r>
  <r>
    <s v="ORD201131"/>
    <d v="2024-07-18T00:00:00"/>
    <s v="C21043"/>
    <x v="1"/>
    <n v="1"/>
    <n v="694.5"/>
    <s v="195 Main St"/>
    <s v="Credit Card"/>
    <x v="4"/>
    <s v="TRK41691086"/>
    <n v="3"/>
    <s v="WINTER15"/>
    <s v="Facebook"/>
    <n v="694.5"/>
  </r>
  <r>
    <s v="ORD201132"/>
    <d v="2024-12-02T00:00:00"/>
    <s v="C58858"/>
    <x v="3"/>
    <n v="2"/>
    <n v="337.32"/>
    <s v="948 Main St"/>
    <s v="Credit Card"/>
    <x v="1"/>
    <s v="TRK30406357"/>
    <n v="4"/>
    <s v="SAVE10"/>
    <s v="Email"/>
    <n v="674.64"/>
  </r>
  <r>
    <s v="ORD201133"/>
    <d v="2024-04-09T00:00:00"/>
    <s v="C20670"/>
    <x v="4"/>
    <n v="2"/>
    <n v="467.91"/>
    <s v="432 Main St"/>
    <s v="Gift Card"/>
    <x v="2"/>
    <s v="TRK76731303"/>
    <n v="5"/>
    <s v="WINTER15"/>
    <s v="Facebook"/>
    <n v="935.82"/>
  </r>
  <r>
    <s v="ORD201134"/>
    <d v="2024-06-08T00:00:00"/>
    <s v="C90993"/>
    <x v="6"/>
    <n v="4"/>
    <n v="38.28"/>
    <s v="950 Main St"/>
    <s v="Debit Card"/>
    <x v="1"/>
    <s v="TRK53964711"/>
    <n v="4"/>
    <s v="WINTER15"/>
    <s v="Facebook"/>
    <n v="153.12"/>
  </r>
  <r>
    <s v="ORD201135"/>
    <d v="2023-12-28T00:00:00"/>
    <s v="C11473"/>
    <x v="4"/>
    <n v="2"/>
    <n v="73.41"/>
    <s v="562 Main St"/>
    <s v="Online"/>
    <x v="0"/>
    <s v="TRK97793275"/>
    <n v="2"/>
    <s v="SAVE10"/>
    <s v="Google"/>
    <n v="146.82"/>
  </r>
  <r>
    <s v="ORD201136"/>
    <d v="2023-09-24T00:00:00"/>
    <s v="C71899"/>
    <x v="2"/>
    <n v="3"/>
    <n v="668.33"/>
    <s v="799 Main St"/>
    <s v="Gift Card"/>
    <x v="4"/>
    <s v="TRK34856025"/>
    <n v="4"/>
    <s v="WINTER15"/>
    <s v="Facebook"/>
    <n v="2004.99"/>
  </r>
  <r>
    <s v="ORD201137"/>
    <d v="2024-07-29T00:00:00"/>
    <s v="C48577"/>
    <x v="4"/>
    <n v="4"/>
    <n v="410.21"/>
    <s v="841 Main St"/>
    <s v="Cash"/>
    <x v="4"/>
    <s v="TRK59911645"/>
    <n v="5"/>
    <s v="WINTER15"/>
    <s v="Instagram"/>
    <n v="1640.84"/>
  </r>
  <r>
    <s v="ORD201138"/>
    <d v="2023-12-18T00:00:00"/>
    <s v="C13100"/>
    <x v="6"/>
    <n v="4"/>
    <n v="294.41000000000003"/>
    <s v="188 Main St"/>
    <s v="Debit Card"/>
    <x v="4"/>
    <s v="TRK55565668"/>
    <n v="4"/>
    <s v="No COUPON"/>
    <s v="Instagram"/>
    <n v="1177.6400000000001"/>
  </r>
  <r>
    <s v="ORD201139"/>
    <d v="2025-03-01T00:00:00"/>
    <s v="C70659"/>
    <x v="3"/>
    <n v="3"/>
    <n v="501.82"/>
    <s v="568 Main St"/>
    <s v="Gift Card"/>
    <x v="1"/>
    <s v="TRK28290825"/>
    <n v="4"/>
    <s v="FREESHIP"/>
    <s v="Email"/>
    <n v="1505.46"/>
  </r>
  <r>
    <s v="ORD201140"/>
    <d v="2024-06-24T00:00:00"/>
    <s v="C49838"/>
    <x v="4"/>
    <n v="2"/>
    <n v="552.83000000000004"/>
    <s v="904 Main St"/>
    <s v="Credit Card"/>
    <x v="1"/>
    <s v="TRK38297718"/>
    <n v="3"/>
    <s v="No COUPON"/>
    <s v="Referral"/>
    <n v="1105.6600000000001"/>
  </r>
  <r>
    <s v="ORD201141"/>
    <d v="2025-02-16T00:00:00"/>
    <s v="C11998"/>
    <x v="3"/>
    <n v="3"/>
    <n v="498.66"/>
    <s v="382 Main St"/>
    <s v="Cash"/>
    <x v="1"/>
    <s v="TRK26707221"/>
    <n v="6"/>
    <s v="No COUPON"/>
    <s v="Email"/>
    <n v="1495.98"/>
  </r>
  <r>
    <s v="ORD201142"/>
    <d v="2024-08-23T00:00:00"/>
    <s v="C23405"/>
    <x v="1"/>
    <n v="4"/>
    <n v="695.1"/>
    <s v="484 Main St"/>
    <s v="Debit Card"/>
    <x v="2"/>
    <s v="TRK83678708"/>
    <n v="8"/>
    <s v="No COUPON"/>
    <s v="Email"/>
    <n v="2780.4"/>
  </r>
  <r>
    <s v="ORD201143"/>
    <d v="2023-04-03T00:00:00"/>
    <s v="C41132"/>
    <x v="3"/>
    <n v="1"/>
    <n v="381.61"/>
    <s v="114 Main St"/>
    <s v="Debit Card"/>
    <x v="4"/>
    <s v="TRK51040137"/>
    <n v="5"/>
    <s v="No COUPON"/>
    <s v="Email"/>
    <n v="381.61"/>
  </r>
  <r>
    <s v="ORD201144"/>
    <d v="2023-02-16T00:00:00"/>
    <s v="C88463"/>
    <x v="6"/>
    <n v="5"/>
    <n v="507.94"/>
    <s v="292 Main St"/>
    <s v="Online"/>
    <x v="1"/>
    <s v="TRK88749996"/>
    <n v="9"/>
    <s v="No COUPON"/>
    <s v="Facebook"/>
    <n v="2539.6999999999998"/>
  </r>
  <r>
    <s v="ORD201145"/>
    <d v="2025-05-12T00:00:00"/>
    <s v="C28152"/>
    <x v="6"/>
    <n v="3"/>
    <n v="571.53"/>
    <s v="821 Main St"/>
    <s v="Debit Card"/>
    <x v="3"/>
    <s v="TRK59642814"/>
    <n v="6"/>
    <s v="FREESHIP"/>
    <s v="Facebook"/>
    <n v="1714.59"/>
  </r>
  <r>
    <s v="ORD201146"/>
    <d v="2024-10-03T00:00:00"/>
    <s v="C36383"/>
    <x v="0"/>
    <n v="5"/>
    <n v="421.44"/>
    <s v="286 Main St"/>
    <s v="Cash"/>
    <x v="4"/>
    <s v="TRK93336357"/>
    <n v="5"/>
    <s v="SAVE10"/>
    <s v="Instagram"/>
    <n v="2107.1999999999998"/>
  </r>
  <r>
    <s v="ORD201147"/>
    <d v="2025-01-02T00:00:00"/>
    <s v="C19759"/>
    <x v="3"/>
    <n v="2"/>
    <n v="588.29999999999995"/>
    <s v="234 Main St"/>
    <s v="Online"/>
    <x v="4"/>
    <s v="TRK22515454"/>
    <n v="2"/>
    <s v="FREESHIP"/>
    <s v="Email"/>
    <n v="1176.5999999999999"/>
  </r>
  <r>
    <s v="ORD201148"/>
    <d v="2024-06-25T00:00:00"/>
    <s v="C54886"/>
    <x v="1"/>
    <n v="1"/>
    <n v="355.15"/>
    <s v="442 Main St"/>
    <s v="Cash"/>
    <x v="2"/>
    <s v="TRK66241930"/>
    <n v="2"/>
    <s v="SAVE10"/>
    <s v="Email"/>
    <n v="355.15"/>
  </r>
  <r>
    <s v="ORD201149"/>
    <d v="2024-07-25T00:00:00"/>
    <s v="C27305"/>
    <x v="3"/>
    <n v="2"/>
    <n v="695.29"/>
    <s v="957 Main St"/>
    <s v="Credit Card"/>
    <x v="4"/>
    <s v="TRK28789916"/>
    <n v="6"/>
    <s v="FREESHIP"/>
    <s v="Instagram"/>
    <n v="1390.58"/>
  </r>
  <r>
    <s v="ORD201150"/>
    <d v="2023-02-20T00:00:00"/>
    <s v="C17921"/>
    <x v="6"/>
    <n v="4"/>
    <n v="302.64999999999998"/>
    <s v="119 Main St"/>
    <s v="Credit Card"/>
    <x v="1"/>
    <s v="TRK79291524"/>
    <n v="8"/>
    <s v="SAVE10"/>
    <s v="Referral"/>
    <n v="1210.5999999999999"/>
  </r>
  <r>
    <s v="ORD201151"/>
    <d v="2023-01-29T00:00:00"/>
    <s v="C94381"/>
    <x v="3"/>
    <n v="2"/>
    <n v="608.04"/>
    <s v="962 Main St"/>
    <s v="Cash"/>
    <x v="1"/>
    <s v="TRK69804304"/>
    <n v="4"/>
    <s v="No COUPON"/>
    <s v="Google"/>
    <n v="1216.08"/>
  </r>
  <r>
    <s v="ORD201152"/>
    <d v="2023-11-09T00:00:00"/>
    <s v="C25162"/>
    <x v="2"/>
    <n v="2"/>
    <n v="344.18"/>
    <s v="533 Main St"/>
    <s v="Credit Card"/>
    <x v="0"/>
    <s v="TRK42183078"/>
    <n v="7"/>
    <s v="No COUPON"/>
    <s v="Referral"/>
    <n v="688.36"/>
  </r>
  <r>
    <s v="ORD201153"/>
    <d v="2024-12-16T00:00:00"/>
    <s v="C98317"/>
    <x v="0"/>
    <n v="4"/>
    <n v="696.71"/>
    <s v="276 Main St"/>
    <s v="Debit Card"/>
    <x v="0"/>
    <s v="TRK37172138"/>
    <n v="4"/>
    <s v="No COUPON"/>
    <s v="Instagram"/>
    <n v="2786.84"/>
  </r>
  <r>
    <s v="ORD201154"/>
    <d v="2025-06-11T00:00:00"/>
    <s v="C53631"/>
    <x v="0"/>
    <n v="3"/>
    <n v="198.63"/>
    <s v="593 Main St"/>
    <s v="Cash"/>
    <x v="4"/>
    <s v="TRK67589167"/>
    <n v="8"/>
    <s v="SAVE10"/>
    <s v="Instagram"/>
    <n v="595.89"/>
  </r>
  <r>
    <s v="ORD201155"/>
    <d v="2023-08-13T00:00:00"/>
    <s v="C41478"/>
    <x v="4"/>
    <n v="4"/>
    <n v="534.57000000000005"/>
    <s v="667 Main St"/>
    <s v="Credit Card"/>
    <x v="3"/>
    <s v="TRK62068126"/>
    <n v="6"/>
    <s v="FREESHIP"/>
    <s v="Facebook"/>
    <n v="2138.2800000000002"/>
  </r>
  <r>
    <s v="ORD201156"/>
    <d v="2023-07-19T00:00:00"/>
    <s v="C20512"/>
    <x v="5"/>
    <n v="4"/>
    <n v="690.78"/>
    <s v="980 Main St"/>
    <s v="Credit Card"/>
    <x v="0"/>
    <s v="TRK98234737"/>
    <n v="9"/>
    <s v="No COUPON"/>
    <s v="Referral"/>
    <n v="2763.12"/>
  </r>
  <r>
    <s v="ORD201157"/>
    <d v="2024-05-29T00:00:00"/>
    <s v="C25841"/>
    <x v="0"/>
    <n v="3"/>
    <n v="301.55"/>
    <s v="242 Main St"/>
    <s v="Debit Card"/>
    <x v="3"/>
    <s v="TRK21451375"/>
    <n v="5"/>
    <s v="FREESHIP"/>
    <s v="Google"/>
    <n v="904.65000000000009"/>
  </r>
  <r>
    <s v="ORD201158"/>
    <d v="2023-04-20T00:00:00"/>
    <s v="C82781"/>
    <x v="0"/>
    <n v="4"/>
    <n v="27.42"/>
    <s v="661 Main St"/>
    <s v="Debit Card"/>
    <x v="4"/>
    <s v="TRK20605418"/>
    <n v="4"/>
    <s v="SAVE10"/>
    <s v="Referral"/>
    <n v="109.68"/>
  </r>
  <r>
    <s v="ORD201159"/>
    <d v="2024-02-23T00:00:00"/>
    <s v="C66112"/>
    <x v="6"/>
    <n v="4"/>
    <n v="466.7"/>
    <s v="874 Main St"/>
    <s v="Debit Card"/>
    <x v="2"/>
    <s v="TRK60955607"/>
    <n v="8"/>
    <s v="No COUPON"/>
    <s v="Instagram"/>
    <n v="1866.8"/>
  </r>
  <r>
    <s v="ORD201160"/>
    <d v="2024-09-04T00:00:00"/>
    <s v="C40466"/>
    <x v="6"/>
    <n v="1"/>
    <n v="541.64"/>
    <s v="449 Main St"/>
    <s v="Debit Card"/>
    <x v="0"/>
    <s v="TRK70255168"/>
    <n v="5"/>
    <s v="SAVE10"/>
    <s v="Email"/>
    <n v="541.64"/>
  </r>
  <r>
    <s v="ORD201161"/>
    <d v="2023-10-16T00:00:00"/>
    <s v="C32570"/>
    <x v="1"/>
    <n v="1"/>
    <n v="11.39"/>
    <s v="826 Main St"/>
    <s v="Cash"/>
    <x v="1"/>
    <s v="TRK35969968"/>
    <n v="6"/>
    <s v="WINTER15"/>
    <s v="Email"/>
    <n v="11.39"/>
  </r>
  <r>
    <s v="ORD201162"/>
    <d v="2025-03-11T00:00:00"/>
    <s v="C29405"/>
    <x v="1"/>
    <n v="2"/>
    <n v="224.37"/>
    <s v="251 Main St"/>
    <s v="Debit Card"/>
    <x v="3"/>
    <s v="TRK33125798"/>
    <n v="3"/>
    <s v="WINTER15"/>
    <s v="Referral"/>
    <n v="448.74"/>
  </r>
  <r>
    <s v="ORD201163"/>
    <d v="2024-06-11T00:00:00"/>
    <s v="C30643"/>
    <x v="5"/>
    <n v="3"/>
    <n v="306.29000000000002"/>
    <s v="966 Main St"/>
    <s v="Credit Card"/>
    <x v="2"/>
    <s v="TRK19477485"/>
    <n v="7"/>
    <s v="WINTER15"/>
    <s v="Instagram"/>
    <n v="918.87000000000012"/>
  </r>
  <r>
    <s v="ORD201164"/>
    <d v="2024-01-08T00:00:00"/>
    <s v="C65890"/>
    <x v="2"/>
    <n v="5"/>
    <n v="315.57"/>
    <s v="340 Main St"/>
    <s v="Debit Card"/>
    <x v="3"/>
    <s v="TRK64530489"/>
    <n v="6"/>
    <s v="WINTER15"/>
    <s v="Email"/>
    <n v="1577.85"/>
  </r>
  <r>
    <s v="ORD201165"/>
    <d v="2023-07-14T00:00:00"/>
    <s v="C36992"/>
    <x v="3"/>
    <n v="3"/>
    <n v="223.79"/>
    <s v="617 Main St"/>
    <s v="Debit Card"/>
    <x v="4"/>
    <s v="TRK63460217"/>
    <n v="3"/>
    <s v="No COUPON"/>
    <s v="Google"/>
    <n v="671.37"/>
  </r>
  <r>
    <s v="ORD201166"/>
    <d v="2023-07-31T00:00:00"/>
    <s v="C95568"/>
    <x v="3"/>
    <n v="3"/>
    <n v="324.47000000000003"/>
    <s v="971 Main St"/>
    <s v="Cash"/>
    <x v="3"/>
    <s v="TRK37075292"/>
    <n v="4"/>
    <s v="WINTER15"/>
    <s v="Email"/>
    <n v="973.41000000000008"/>
  </r>
  <r>
    <s v="ORD201167"/>
    <d v="2023-10-17T00:00:00"/>
    <s v="C17966"/>
    <x v="4"/>
    <n v="2"/>
    <n v="92.87"/>
    <s v="360 Main St"/>
    <s v="Credit Card"/>
    <x v="4"/>
    <s v="TRK31169396"/>
    <n v="5"/>
    <s v="FREESHIP"/>
    <s v="Facebook"/>
    <n v="185.74"/>
  </r>
  <r>
    <s v="ORD201168"/>
    <d v="2023-04-08T00:00:00"/>
    <s v="C89559"/>
    <x v="5"/>
    <n v="2"/>
    <n v="331.42"/>
    <s v="297 Main St"/>
    <s v="Credit Card"/>
    <x v="3"/>
    <s v="TRK82838108"/>
    <n v="6"/>
    <s v="WINTER15"/>
    <s v="Google"/>
    <n v="662.84"/>
  </r>
  <r>
    <s v="ORD201169"/>
    <d v="2024-12-23T00:00:00"/>
    <s v="C15849"/>
    <x v="3"/>
    <n v="1"/>
    <n v="525.42999999999995"/>
    <s v="643 Main St"/>
    <s v="Cash"/>
    <x v="1"/>
    <s v="TRK26794546"/>
    <n v="2"/>
    <s v="SAVE10"/>
    <s v="Instagram"/>
    <n v="525.42999999999995"/>
  </r>
  <r>
    <s v="ORD201170"/>
    <d v="2023-08-03T00:00:00"/>
    <s v="C94257"/>
    <x v="4"/>
    <n v="2"/>
    <n v="697.19"/>
    <s v="762 Main St"/>
    <s v="Cash"/>
    <x v="2"/>
    <s v="TRK40220743"/>
    <n v="7"/>
    <s v="FREESHIP"/>
    <s v="Email"/>
    <n v="1394.38"/>
  </r>
  <r>
    <s v="ORD201171"/>
    <d v="2023-08-28T00:00:00"/>
    <s v="C39911"/>
    <x v="1"/>
    <n v="4"/>
    <n v="518.4"/>
    <s v="699 Main St"/>
    <s v="Credit Card"/>
    <x v="3"/>
    <s v="TRK80431998"/>
    <n v="7"/>
    <s v="SAVE10"/>
    <s v="Facebook"/>
    <n v="2073.6"/>
  </r>
  <r>
    <s v="ORD201172"/>
    <d v="2025-02-04T00:00:00"/>
    <s v="C28828"/>
    <x v="6"/>
    <n v="3"/>
    <n v="131.96"/>
    <s v="745 Main St"/>
    <s v="Credit Card"/>
    <x v="4"/>
    <s v="TRK32550359"/>
    <n v="8"/>
    <s v="No COUPON"/>
    <s v="Instagram"/>
    <n v="395.88"/>
  </r>
  <r>
    <s v="ORD201173"/>
    <d v="2024-10-04T00:00:00"/>
    <s v="C82921"/>
    <x v="0"/>
    <n v="1"/>
    <n v="208.36"/>
    <s v="703 Main St"/>
    <s v="Online"/>
    <x v="0"/>
    <s v="TRK31079911"/>
    <n v="4"/>
    <s v="FREESHIP"/>
    <s v="Email"/>
    <n v="208.36"/>
  </r>
  <r>
    <s v="ORD201174"/>
    <d v="2023-11-27T00:00:00"/>
    <s v="C50159"/>
    <x v="4"/>
    <n v="3"/>
    <n v="222.34"/>
    <s v="105 Main St"/>
    <s v="Credit Card"/>
    <x v="2"/>
    <s v="TRK53737452"/>
    <n v="5"/>
    <s v="WINTER15"/>
    <s v="Email"/>
    <n v="667.02"/>
  </r>
  <r>
    <s v="ORD201175"/>
    <d v="2024-09-10T00:00:00"/>
    <s v="C62512"/>
    <x v="4"/>
    <n v="3"/>
    <n v="91.74"/>
    <s v="368 Main St"/>
    <s v="Debit Card"/>
    <x v="2"/>
    <s v="TRK24139954"/>
    <n v="8"/>
    <s v="FREESHIP"/>
    <s v="Referral"/>
    <n v="275.22000000000003"/>
  </r>
  <r>
    <s v="ORD201176"/>
    <d v="2023-08-13T00:00:00"/>
    <s v="C39260"/>
    <x v="2"/>
    <n v="2"/>
    <n v="213.83"/>
    <s v="374 Main St"/>
    <s v="Debit Card"/>
    <x v="1"/>
    <s v="TRK55587314"/>
    <n v="2"/>
    <s v="WINTER15"/>
    <s v="Email"/>
    <n v="427.66"/>
  </r>
  <r>
    <s v="ORD201177"/>
    <d v="2023-04-27T00:00:00"/>
    <s v="C23917"/>
    <x v="4"/>
    <n v="1"/>
    <n v="127.55"/>
    <s v="433 Main St"/>
    <s v="Cash"/>
    <x v="0"/>
    <s v="TRK44434536"/>
    <n v="3"/>
    <s v="SAVE10"/>
    <s v="Referral"/>
    <n v="127.55"/>
  </r>
  <r>
    <s v="ORD201178"/>
    <d v="2024-09-08T00:00:00"/>
    <s v="C65107"/>
    <x v="0"/>
    <n v="1"/>
    <n v="70.239999999999995"/>
    <s v="456 Main St"/>
    <s v="Credit Card"/>
    <x v="1"/>
    <s v="TRK10261578"/>
    <n v="4"/>
    <s v="FREESHIP"/>
    <s v="Google"/>
    <n v="70.239999999999995"/>
  </r>
  <r>
    <s v="ORD201179"/>
    <d v="2023-01-08T00:00:00"/>
    <s v="C84630"/>
    <x v="5"/>
    <n v="5"/>
    <n v="518.54999999999995"/>
    <s v="907 Main St"/>
    <s v="Credit Card"/>
    <x v="1"/>
    <s v="TRK48054997"/>
    <n v="6"/>
    <s v="WINTER15"/>
    <s v="Instagram"/>
    <n v="2592.75"/>
  </r>
  <r>
    <s v="ORD201180"/>
    <d v="2023-10-31T00:00:00"/>
    <s v="C42235"/>
    <x v="3"/>
    <n v="4"/>
    <n v="298.36"/>
    <s v="722 Main St"/>
    <s v="Debit Card"/>
    <x v="4"/>
    <s v="TRK49379882"/>
    <n v="8"/>
    <s v="FREESHIP"/>
    <s v="Google"/>
    <n v="1193.44"/>
  </r>
  <r>
    <s v="ORD201181"/>
    <d v="2023-07-27T00:00:00"/>
    <s v="C70246"/>
    <x v="6"/>
    <n v="3"/>
    <n v="158.74"/>
    <s v="293 Main St"/>
    <s v="Online"/>
    <x v="4"/>
    <s v="TRK45708320"/>
    <n v="7"/>
    <s v="FREESHIP"/>
    <s v="Instagram"/>
    <n v="476.22"/>
  </r>
  <r>
    <s v="ORD201182"/>
    <d v="2025-06-14T00:00:00"/>
    <s v="C18473"/>
    <x v="3"/>
    <n v="2"/>
    <n v="420.29"/>
    <s v="700 Main St"/>
    <s v="Gift Card"/>
    <x v="2"/>
    <s v="TRK97834202"/>
    <n v="3"/>
    <s v="SAVE10"/>
    <s v="Google"/>
    <n v="840.58"/>
  </r>
  <r>
    <s v="ORD201183"/>
    <d v="2023-04-05T00:00:00"/>
    <s v="C12607"/>
    <x v="6"/>
    <n v="1"/>
    <n v="281.52"/>
    <s v="460 Main St"/>
    <s v="Gift Card"/>
    <x v="0"/>
    <s v="TRK83653396"/>
    <n v="6"/>
    <s v="WINTER15"/>
    <s v="Referral"/>
    <n v="281.52"/>
  </r>
  <r>
    <s v="ORD201184"/>
    <d v="2023-09-27T00:00:00"/>
    <s v="C10222"/>
    <x v="5"/>
    <n v="1"/>
    <n v="204.08"/>
    <s v="979 Main St"/>
    <s v="Gift Card"/>
    <x v="2"/>
    <s v="TRK86297895"/>
    <n v="4"/>
    <s v="No COUPON"/>
    <s v="Google"/>
    <n v="204.08"/>
  </r>
  <r>
    <s v="ORD201185"/>
    <d v="2024-07-08T00:00:00"/>
    <s v="C77344"/>
    <x v="3"/>
    <n v="1"/>
    <n v="343.31"/>
    <s v="777 Main St"/>
    <s v="Gift Card"/>
    <x v="2"/>
    <s v="TRK20605055"/>
    <n v="6"/>
    <s v="SAVE10"/>
    <s v="Google"/>
    <n v="343.31"/>
  </r>
  <r>
    <s v="ORD201186"/>
    <d v="2023-11-18T00:00:00"/>
    <s v="C65497"/>
    <x v="0"/>
    <n v="1"/>
    <n v="163.32"/>
    <s v="676 Main St"/>
    <s v="Cash"/>
    <x v="0"/>
    <s v="TRK83702761"/>
    <n v="6"/>
    <s v="WINTER15"/>
    <s v="Facebook"/>
    <n v="163.32"/>
  </r>
  <r>
    <s v="ORD201187"/>
    <d v="2024-03-13T00:00:00"/>
    <s v="C26340"/>
    <x v="6"/>
    <n v="2"/>
    <n v="184.6"/>
    <s v="562 Main St"/>
    <s v="Gift Card"/>
    <x v="3"/>
    <s v="TRK59962703"/>
    <n v="7"/>
    <s v="WINTER15"/>
    <s v="Email"/>
    <n v="369.2"/>
  </r>
  <r>
    <s v="ORD201188"/>
    <d v="2023-10-07T00:00:00"/>
    <s v="C75619"/>
    <x v="4"/>
    <n v="2"/>
    <n v="371.29"/>
    <s v="924 Main St"/>
    <s v="Gift Card"/>
    <x v="0"/>
    <s v="TRK23086941"/>
    <n v="5"/>
    <s v="WINTER15"/>
    <s v="Facebook"/>
    <n v="742.58"/>
  </r>
  <r>
    <s v="ORD201189"/>
    <d v="2024-08-17T00:00:00"/>
    <s v="C96136"/>
    <x v="2"/>
    <n v="5"/>
    <n v="389.22"/>
    <s v="149 Main St"/>
    <s v="Cash"/>
    <x v="1"/>
    <s v="TRK60856682"/>
    <n v="7"/>
    <s v="No COUPON"/>
    <s v="Referral"/>
    <n v="1946.1"/>
  </r>
  <r>
    <s v="ORD201190"/>
    <d v="2025-06-08T00:00:00"/>
    <s v="C46886"/>
    <x v="6"/>
    <n v="3"/>
    <n v="616.39"/>
    <s v="754 Main St"/>
    <s v="Credit Card"/>
    <x v="0"/>
    <s v="TRK82791646"/>
    <n v="6"/>
    <s v="FREESHIP"/>
    <s v="Instagram"/>
    <n v="1849.17"/>
  </r>
  <r>
    <s v="ORD201191"/>
    <d v="2025-02-10T00:00:00"/>
    <s v="C44148"/>
    <x v="6"/>
    <n v="4"/>
    <n v="376.43"/>
    <s v="809 Main St"/>
    <s v="Gift Card"/>
    <x v="4"/>
    <s v="TRK67872709"/>
    <n v="5"/>
    <s v="WINTER15"/>
    <s v="Instagram"/>
    <n v="1505.72"/>
  </r>
  <r>
    <s v="ORD201192"/>
    <d v="2024-02-28T00:00:00"/>
    <s v="C72007"/>
    <x v="3"/>
    <n v="3"/>
    <n v="432.85"/>
    <s v="999 Main St"/>
    <s v="Online"/>
    <x v="4"/>
    <s v="TRK16240916"/>
    <n v="4"/>
    <s v="No COUPON"/>
    <s v="Instagram"/>
    <n v="1298.55"/>
  </r>
  <r>
    <s v="ORD201193"/>
    <d v="2025-06-16T00:00:00"/>
    <s v="C45104"/>
    <x v="2"/>
    <n v="1"/>
    <n v="687.89"/>
    <s v="348 Main St"/>
    <s v="Cash"/>
    <x v="2"/>
    <s v="TRK38559816"/>
    <n v="1"/>
    <s v="FREESHIP"/>
    <s v="Email"/>
    <n v="687.89"/>
  </r>
  <r>
    <s v="ORD201194"/>
    <d v="2023-11-19T00:00:00"/>
    <s v="C29885"/>
    <x v="4"/>
    <n v="3"/>
    <n v="189.44"/>
    <s v="725 Main St"/>
    <s v="Cash"/>
    <x v="4"/>
    <s v="TRK62067865"/>
    <n v="4"/>
    <s v="FREESHIP"/>
    <s v="Email"/>
    <n v="568.31999999999994"/>
  </r>
  <r>
    <s v="ORD201195"/>
    <d v="2024-06-20T00:00:00"/>
    <s v="C21126"/>
    <x v="6"/>
    <n v="1"/>
    <n v="107.04"/>
    <s v="392 Main St"/>
    <s v="Credit Card"/>
    <x v="1"/>
    <s v="TRK38009181"/>
    <n v="6"/>
    <s v="FREESHIP"/>
    <s v="Google"/>
    <n v="107.04"/>
  </r>
  <r>
    <s v="ORD201196"/>
    <d v="2024-03-04T00:00:00"/>
    <s v="C20095"/>
    <x v="0"/>
    <n v="2"/>
    <n v="662.53"/>
    <s v="778 Main St"/>
    <s v="Online"/>
    <x v="1"/>
    <s v="TRK69207593"/>
    <n v="5"/>
    <s v="No COUPON"/>
    <s v="Facebook"/>
    <n v="1325.06"/>
  </r>
  <r>
    <s v="ORD201197"/>
    <d v="2023-07-13T00:00:00"/>
    <s v="C79674"/>
    <x v="2"/>
    <n v="2"/>
    <n v="436.84"/>
    <s v="275 Main St"/>
    <s v="Online"/>
    <x v="3"/>
    <s v="TRK88039356"/>
    <n v="2"/>
    <s v="FREESHIP"/>
    <s v="Instagram"/>
    <n v="873.68"/>
  </r>
  <r>
    <s v="ORD201198"/>
    <d v="2024-08-22T00:00:00"/>
    <s v="C64753"/>
    <x v="3"/>
    <n v="4"/>
    <n v="262.52"/>
    <s v="509 Main St"/>
    <s v="Debit Card"/>
    <x v="1"/>
    <s v="TRK71683331"/>
    <n v="4"/>
    <s v="WINTER15"/>
    <s v="Instagram"/>
    <n v="1050.08"/>
  </r>
  <r>
    <s v="ORD201199"/>
    <d v="2023-06-11T00:00:00"/>
    <s v="C57502"/>
    <x v="2"/>
    <n v="4"/>
    <n v="560.58000000000004"/>
    <s v="201 Main St"/>
    <s v="Gift Card"/>
    <x v="2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E35E82-427F-4C4F-85BA-D001748BD969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7:G26" firstHeaderRow="1" firstDataRow="2" firstDataCol="1"/>
  <pivotFields count="14">
    <pivotField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axis="axisCol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Price" fld="13" baseField="0" baseItem="0" numFmtId="170"/>
  </dataFields>
  <formats count="1">
    <format dxfId="0">
      <pivotArea outline="0" collapsedLevelsAreSubtotals="1" fieldPosition="0"/>
    </format>
  </formats>
  <chartFormats count="5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8950F9-5D9B-4722-B8D9-6392F2736571}" name="Table1" displayName="Table1" ref="A1:N1201" totalsRowShown="0" headerRowDxfId="1" headerRowBorderDxfId="3" tableBorderDxfId="4">
  <autoFilter ref="A1:N1201" xr:uid="{058950F9-5D9B-4722-B8D9-6392F2736571}"/>
  <tableColumns count="14">
    <tableColumn id="1" xr3:uid="{5C1756D2-8F71-459A-89E4-AAFAC6AF082E}" name="OrderID"/>
    <tableColumn id="2" xr3:uid="{27E1E734-0ACA-44F6-8F26-46431BA1399A}" name="Date" dataDxfId="2"/>
    <tableColumn id="3" xr3:uid="{28F38FE1-CBC9-4250-A2CA-91BCA364FB4D}" name="CustomerID"/>
    <tableColumn id="4" xr3:uid="{FC4CD58E-1B6B-4CE4-9486-68AF45DEE270}" name="Product"/>
    <tableColumn id="5" xr3:uid="{A3514DD1-5C53-40CA-BBC4-10E2EC079878}" name="Quantity"/>
    <tableColumn id="6" xr3:uid="{F9612F25-57BD-4148-8C5B-6207DABFA94B}" name="UnitPrice"/>
    <tableColumn id="7" xr3:uid="{C35C5E27-31EE-43EE-A91C-BE90A73D4D35}" name="ShippingAddress"/>
    <tableColumn id="8" xr3:uid="{61506FDC-B672-4EAC-BFC7-A32AF4D3C83D}" name="PaymentMethod"/>
    <tableColumn id="9" xr3:uid="{D5373085-A879-4147-A77D-857099237A41}" name="OrderStatus"/>
    <tableColumn id="10" xr3:uid="{7DD86149-8973-4660-903E-37F371F88D96}" name="TrackingNumber"/>
    <tableColumn id="11" xr3:uid="{E7A6757D-1661-458C-A4BD-B341BDCB00DF}" name="ItemsInCart"/>
    <tableColumn id="12" xr3:uid="{FA58AA9A-771C-4F91-BEC3-92277539D644}" name="CouponCode"/>
    <tableColumn id="13" xr3:uid="{1769EFBD-0BA6-45D6-A099-10816ADD034B}" name="ReferralSource"/>
    <tableColumn id="14" xr3:uid="{3D6DA333-4F06-44B5-9E89-4EBE2C226799}" name="TotalPric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A2" workbookViewId="0">
      <selection activeCell="F6" sqref="F6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15FC-6343-42E3-9021-0E12C70B5749}">
  <dimension ref="A1:G26"/>
  <sheetViews>
    <sheetView tabSelected="1" workbookViewId="0">
      <selection activeCell="C8" sqref="C8"/>
    </sheetView>
  </sheetViews>
  <sheetFormatPr defaultRowHeight="15" x14ac:dyDescent="0.25"/>
  <cols>
    <col min="1" max="1" width="16.5703125" bestFit="1" customWidth="1"/>
    <col min="2" max="2" width="16.42578125" bestFit="1" customWidth="1"/>
    <col min="3" max="6" width="12.28515625" bestFit="1" customWidth="1"/>
    <col min="7" max="7" width="13.42578125" bestFit="1" customWidth="1"/>
  </cols>
  <sheetData>
    <row r="1" spans="1:2" x14ac:dyDescent="0.25">
      <c r="A1" t="s">
        <v>4284</v>
      </c>
      <c r="B1">
        <f>AVERAGE(Table1[TotalPrice])</f>
        <v>1053.9683000000005</v>
      </c>
    </row>
    <row r="2" spans="1:2" x14ac:dyDescent="0.25">
      <c r="A2" t="s">
        <v>4285</v>
      </c>
      <c r="B2">
        <f>MEDIAN(Table1[TotalPrice])</f>
        <v>823.61500000000001</v>
      </c>
    </row>
    <row r="3" spans="1:2" x14ac:dyDescent="0.25">
      <c r="A3" t="s">
        <v>4286</v>
      </c>
      <c r="B3">
        <f>COUNT(Table1[TotalPrice])</f>
        <v>1200</v>
      </c>
    </row>
    <row r="4" spans="1:2" x14ac:dyDescent="0.25">
      <c r="A4" t="s">
        <v>4287</v>
      </c>
      <c r="B4">
        <f>MIN(Table1[TotalPrice])</f>
        <v>11.39</v>
      </c>
    </row>
    <row r="5" spans="1:2" x14ac:dyDescent="0.25">
      <c r="A5" t="s">
        <v>4288</v>
      </c>
      <c r="B5">
        <f>MAX(Table1[TotalPrice])</f>
        <v>3456.4</v>
      </c>
    </row>
    <row r="17" spans="1:7" x14ac:dyDescent="0.25">
      <c r="A17" s="3" t="s">
        <v>4291</v>
      </c>
      <c r="B17" s="3" t="s">
        <v>4292</v>
      </c>
    </row>
    <row r="18" spans="1:7" x14ac:dyDescent="0.25">
      <c r="A18" s="3" t="s">
        <v>4289</v>
      </c>
      <c r="B18" t="s">
        <v>3071</v>
      </c>
      <c r="C18" t="s">
        <v>3073</v>
      </c>
      <c r="D18" t="s">
        <v>3074</v>
      </c>
      <c r="E18" t="s">
        <v>3072</v>
      </c>
      <c r="F18" t="s">
        <v>3070</v>
      </c>
      <c r="G18" t="s">
        <v>4290</v>
      </c>
    </row>
    <row r="19" spans="1:7" x14ac:dyDescent="0.25">
      <c r="A19" s="4" t="s">
        <v>2406</v>
      </c>
      <c r="B19" s="5">
        <v>48660.979999999996</v>
      </c>
      <c r="C19" s="5">
        <v>31465.829999999998</v>
      </c>
      <c r="D19" s="5">
        <v>48504.7</v>
      </c>
      <c r="E19" s="5">
        <v>26638.160000000003</v>
      </c>
      <c r="F19" s="5">
        <v>40350.44</v>
      </c>
      <c r="G19" s="5">
        <v>195620.11</v>
      </c>
    </row>
    <row r="20" spans="1:7" x14ac:dyDescent="0.25">
      <c r="A20" s="4" t="s">
        <v>2409</v>
      </c>
      <c r="B20" s="5">
        <v>39587.69000000001</v>
      </c>
      <c r="C20" s="5">
        <v>24225.780000000006</v>
      </c>
      <c r="D20" s="5">
        <v>41390.079999999994</v>
      </c>
      <c r="E20" s="5">
        <v>28831.489999999994</v>
      </c>
      <c r="F20" s="5">
        <v>33424.890000000007</v>
      </c>
      <c r="G20" s="5">
        <v>167459.93000000002</v>
      </c>
    </row>
    <row r="21" spans="1:7" x14ac:dyDescent="0.25">
      <c r="A21" s="4" t="s">
        <v>2408</v>
      </c>
      <c r="B21" s="5">
        <v>43761.72</v>
      </c>
      <c r="C21" s="5">
        <v>40714.429999999986</v>
      </c>
      <c r="D21" s="5">
        <v>27758.880000000005</v>
      </c>
      <c r="E21" s="5">
        <v>39654.30000000001</v>
      </c>
      <c r="F21" s="5">
        <v>40237.229999999996</v>
      </c>
      <c r="G21" s="5">
        <v>192126.56</v>
      </c>
    </row>
    <row r="22" spans="1:7" x14ac:dyDescent="0.25">
      <c r="A22" s="4" t="s">
        <v>2403</v>
      </c>
      <c r="B22" s="5">
        <v>37057.440000000002</v>
      </c>
      <c r="C22" s="5">
        <v>35999.620000000003</v>
      </c>
      <c r="D22" s="5">
        <v>31144.930000000004</v>
      </c>
      <c r="E22" s="5">
        <v>40524.6</v>
      </c>
      <c r="F22" s="5">
        <v>30924.819999999996</v>
      </c>
      <c r="G22" s="5">
        <v>175651.41</v>
      </c>
    </row>
    <row r="23" spans="1:7" x14ac:dyDescent="0.25">
      <c r="A23" s="4" t="s">
        <v>2404</v>
      </c>
      <c r="B23" s="5">
        <v>28023.259999999995</v>
      </c>
      <c r="C23" s="5">
        <v>40345.410000000003</v>
      </c>
      <c r="D23" s="5">
        <v>32192.880000000005</v>
      </c>
      <c r="E23" s="5">
        <v>29164.2</v>
      </c>
      <c r="F23" s="5">
        <v>21996.639999999999</v>
      </c>
      <c r="G23" s="5">
        <v>151722.39000000001</v>
      </c>
    </row>
    <row r="24" spans="1:7" x14ac:dyDescent="0.25">
      <c r="A24" s="4" t="s">
        <v>2407</v>
      </c>
      <c r="B24" s="5">
        <v>38675.160000000011</v>
      </c>
      <c r="C24" s="5">
        <v>38054.730000000003</v>
      </c>
      <c r="D24" s="5">
        <v>38546.219999999987</v>
      </c>
      <c r="E24" s="5">
        <v>35939.089999999997</v>
      </c>
      <c r="F24" s="5">
        <v>44397.41</v>
      </c>
      <c r="G24" s="5">
        <v>195612.61000000002</v>
      </c>
    </row>
    <row r="25" spans="1:7" x14ac:dyDescent="0.25">
      <c r="A25" s="4" t="s">
        <v>2405</v>
      </c>
      <c r="B25" s="5">
        <v>40629.960000000006</v>
      </c>
      <c r="C25" s="5">
        <v>31794.519999999997</v>
      </c>
      <c r="D25" s="5">
        <v>36790.46</v>
      </c>
      <c r="E25" s="5">
        <v>42525.859999999993</v>
      </c>
      <c r="F25" s="5">
        <v>34828.15</v>
      </c>
      <c r="G25" s="5">
        <v>186568.94999999998</v>
      </c>
    </row>
    <row r="26" spans="1:7" x14ac:dyDescent="0.25">
      <c r="A26" s="4" t="s">
        <v>4290</v>
      </c>
      <c r="B26" s="5">
        <v>276396.21000000002</v>
      </c>
      <c r="C26" s="5">
        <v>242600.31999999998</v>
      </c>
      <c r="D26" s="5">
        <v>256328.15</v>
      </c>
      <c r="E26" s="5">
        <v>243277.7</v>
      </c>
      <c r="F26" s="5">
        <v>246159.58000000002</v>
      </c>
      <c r="G26" s="5">
        <v>1264761.9600000002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D85E2-5737-429C-B252-16D09E7D10D5}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Summary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Sharnitha Raj</cp:lastModifiedBy>
  <dcterms:created xsi:type="dcterms:W3CDTF">2025-06-21T13:19:12Z</dcterms:created>
  <dcterms:modified xsi:type="dcterms:W3CDTF">2026-07-14T18:42:16Z</dcterms:modified>
</cp:coreProperties>
</file>